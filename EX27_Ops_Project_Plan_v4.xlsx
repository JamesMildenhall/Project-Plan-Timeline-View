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Tracker" sheetId="2" state="visible" r:id="rId4"/>
    <sheet name="Sheet2" sheetId="3" state="hidden" r:id="rId5"/>
    <sheet name="Timeline" sheetId="4" state="visible" r:id="rId6"/>
  </sheets>
  <definedNames>
    <definedName function="false" hidden="false" localSheetId="3" name="_xlnm.Print_Titles" vbProcedure="false">Timeline!$A:$F,Timeline!$1:$5</definedName>
    <definedName function="false" hidden="false" localSheetId="1" name="_xlnm.Print_Titles" vbProcedure="false">Tracker!$1:$8</definedName>
    <definedName function="false" hidden="true" localSheetId="1" name="_xlnm._FilterDatabase" vbProcedure="false">Tracker!$A$8:$R$435</definedName>
    <definedName function="false" hidden="false" name="_GoBack" vbProcedure="false">tracker!#ref!</definedName>
    <definedName function="false" hidden="false" localSheetId="3" name="_xlnm.Print_Titles" vbProcedure="false">Timeline!$1:$5,Timeline!$A:$F</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D2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there is no C4i department
Reply:
    I need it to breakdown the workload just now. I realise this is not a department however this will be a stream of work you will lead on so I need a reference marker</t>
        </r>
      </text>
    </comment>
    <comment ref="D15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change to C4 or change C4 to VMG for consistency
Reply:
    I will put in the comments for IDR to update on their master - thanks </t>
        </r>
      </text>
    </comment>
    <comment ref="G3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where is this from and what does it mean?
Reply:
    I am playing about with some things, dont worry about this yet, just some prompts for me. 
However this refers to the first day the MOC is live</t>
        </r>
      </text>
    </comment>
    <comment ref="M2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one is completed now, the space allocated. work being done on getting the space ready.</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29" authorId="0">
      <text>
        <r>
          <rPr>
            <sz val="10"/>
            <rFont val="Arial"/>
            <family val="2"/>
          </rPr>
          <t xml:space="preserve">Tracker row 30: Start or Finish is text (e.g. '?' or a non-standard format) in the source, not a real date. Fix in Tracker.</t>
        </r>
      </text>
    </comment>
    <comment ref="A301" authorId="0">
      <text>
        <r>
          <rPr>
            <sz val="10"/>
            <rFont val="Arial"/>
            <family val="2"/>
          </rPr>
          <t xml:space="preserve">Tracker row 288: Start or Finish is text (e.g. '?' or a non-standard format) in the source, not a real date. Fix in Tracker.</t>
        </r>
      </text>
    </comment>
    <comment ref="A302" authorId="0">
      <text>
        <r>
          <rPr>
            <sz val="10"/>
            <rFont val="Arial"/>
            <family val="2"/>
          </rPr>
          <t xml:space="preserve">Tracker row 289: Start or Finish is text (e.g. '?' or a non-standard format) in the source, not a real date. Fix in Tracker.</t>
        </r>
      </text>
    </comment>
    <comment ref="A317" authorId="0">
      <text>
        <r>
          <rPr>
            <sz val="10"/>
            <rFont val="Arial"/>
            <family val="2"/>
          </rPr>
          <t xml:space="preserve">Tracker row 304: Start or Finish is text (e.g. '?' or a non-standard format) in the source, not a real date. Fix in Tracker.</t>
        </r>
      </text>
    </comment>
    <comment ref="A318" authorId="0">
      <text>
        <r>
          <rPr>
            <sz val="10"/>
            <rFont val="Arial"/>
            <family val="2"/>
          </rPr>
          <t xml:space="preserve">Tracker row 305: Start or Finish is text (e.g. '?' or a non-standard format) in the source, not a real date. Fix in Tracker.</t>
        </r>
      </text>
    </comment>
    <comment ref="A321" authorId="0">
      <text>
        <r>
          <rPr>
            <sz val="10"/>
            <rFont val="Arial"/>
            <family val="2"/>
          </rPr>
          <t xml:space="preserve">Tracker row 308: Finish date is before Start date in the source. No bar shown, fix in Tracker.</t>
        </r>
      </text>
    </comment>
    <comment ref="A322" authorId="0">
      <text>
        <r>
          <rPr>
            <sz val="10"/>
            <rFont val="Arial"/>
            <family val="2"/>
          </rPr>
          <t xml:space="preserve">Tracker row 309: Finish date is before Start date in the source. No bar shown, fix in Tracker.</t>
        </r>
      </text>
    </comment>
    <comment ref="A323" authorId="0">
      <text>
        <r>
          <rPr>
            <sz val="10"/>
            <rFont val="Arial"/>
            <family val="2"/>
          </rPr>
          <t xml:space="preserve">Tracker row 310: Finish date is before Start date in the source. No bar shown, fix in Tracker.</t>
        </r>
      </text>
    </comment>
    <comment ref="A324" authorId="0">
      <text>
        <r>
          <rPr>
            <sz val="10"/>
            <rFont val="Arial"/>
            <family val="2"/>
          </rPr>
          <t xml:space="preserve">Tracker row 311: Finish date is before Start date in the source. No bar shown, fix in Tracker.</t>
        </r>
      </text>
    </comment>
    <comment ref="A326" authorId="0">
      <text>
        <r>
          <rPr>
            <sz val="10"/>
            <rFont val="Arial"/>
            <family val="2"/>
          </rPr>
          <t xml:space="preserve">Tracker row 313: Finish date is before Start date in the source. No bar shown, fix in Tracker.</t>
        </r>
      </text>
    </comment>
    <comment ref="A330" authorId="0">
      <text>
        <r>
          <rPr>
            <sz val="10"/>
            <rFont val="Arial"/>
            <family val="2"/>
          </rPr>
          <t xml:space="preserve">Tracker row 317: Start or Finish is text (e.g. '?' or a non-standard format) in the source, not a real date. Fix in Tracker.</t>
        </r>
      </text>
    </comment>
  </commentList>
</comments>
</file>

<file path=xl/sharedStrings.xml><?xml version="1.0" encoding="utf-8"?>
<sst xmlns="http://schemas.openxmlformats.org/spreadsheetml/2006/main" count="4102" uniqueCount="1362">
  <si>
    <t xml:space="preserve">Expo 2027 Belgrade — Operations Project Plan: Instructions &amp; Legend</t>
  </si>
  <si>
    <t xml:space="preserve">This tab explains how the plan is structured and how the Consultant Milestones section should be kept up to date. Read this before editing the plan.</t>
  </si>
  <si>
    <t xml:space="preserve">Maintaining the Consultant Milestones Section</t>
  </si>
  <si>
    <t xml:space="preserve">Legend: REF Coding Scheme</t>
  </si>
  <si>
    <t xml:space="preserve">The Consultant Milestones section tracks all S21 consultant deliverables against the project plan, and must be kept current on a weekly basis so that progress reporting reflects an accurate, real-time picture of delivery.</t>
  </si>
  <si>
    <t xml:space="preserve">REF Format</t>
  </si>
  <si>
    <t xml:space="preserve">Row Type</t>
  </si>
  <si>
    <t xml:space="preserve">Description</t>
  </si>
  <si>
    <t xml:space="preserve">Row Colour</t>
  </si>
  <si>
    <t xml:space="preserve">Every deliverable and subtask row must carry a date, even where that date is not yet firm. Where a date is tentative, it should still be entered so the schedule remains usable, with a comment added to the cell noting that the date is to be confirmed. This ensures no row is left undated simply because full certainty hasn't been reached.</t>
  </si>
  <si>
    <t xml:space="preserve">KM.#</t>
  </si>
  <si>
    <t xml:space="preserve">Key Milestone</t>
  </si>
  <si>
    <t xml:space="preserve">Top-level programme milestone</t>
  </si>
  <si>
    <t xml:space="preserve">Where work has already been completed, it should be added to the plan retrospectively with its actual start and end dates, rather than left blank. The plan is intended to reflect the full history of delivery, not just work that is currently in progress.</t>
  </si>
  <si>
    <t xml:space="preserve">CM.DEPT.##</t>
  </si>
  <si>
    <t xml:space="preserve">Consultant Milestone (S21)</t>
  </si>
  <si>
    <t xml:space="preserve">S21 consultant deliverable, linked to a Key Milestone</t>
  </si>
  <si>
    <t xml:space="preserve">Any document produced as part of a deliverable should be referenced in the row, noting that it is stored on the CEG share drive. This keeps the plan as a reliable index of where supporting evidence can be found, without duplicating files across locations.</t>
  </si>
  <si>
    <t xml:space="preserve">DEPT-T##</t>
  </si>
  <si>
    <t xml:space="preserve">Department Task</t>
  </si>
  <si>
    <t xml:space="preserve">Department-owned task</t>
  </si>
  <si>
    <t xml:space="preserve">When new work begins under an existing Consultant Milestone, it should be captured as a new sub-line nested beneath that milestone, rather than by editing the milestone row itself. This preserves the milestone as a stable reference point while still allowing the detail beneath it to grow over time.</t>
  </si>
  <si>
    <t xml:space="preserve">DEPT-S##.n</t>
  </si>
  <si>
    <t xml:space="preserve">Department Subtask</t>
  </si>
  <si>
    <t xml:space="preserve">Department-owned subtask, nested under a Task</t>
  </si>
  <si>
    <t xml:space="preserve">Finally, by end of day Wednesday each week, every open task must have its status corrected to reflect current progress, with a short written update entered in the "This Week's Update" column. This weekly discipline is what allows the plan to feed directly into the Crowded Event Weekly Report and other leadership reporting without needing to be re-validated each time.</t>
  </si>
  <si>
    <t xml:space="preserve">Legend: Status / RAG</t>
  </si>
  <si>
    <t xml:space="preserve">Maintaining the Key Milestones Section</t>
  </si>
  <si>
    <t xml:space="preserve">Status</t>
  </si>
  <si>
    <t xml:space="preserve">Meaning</t>
  </si>
  <si>
    <t xml:space="preserve">Key Milestones represent the top-level programme deliverables tracked by the IDR, and this plan needs to stay aligned with that external master so that departmental delivery is always being measured against the milestones that actually matter at programme level.</t>
  </si>
  <si>
    <t xml:space="preserve">Complete</t>
  </si>
  <si>
    <t xml:space="preserve">Deliverable fully complete</t>
  </si>
  <si>
    <t xml:space="preserve">Updates to Key Milestones are currently shared manually to the IDR's master tracker rather than through an automated feed. This means the version held here should be treated as the working copy, with the IDR's master as the single source of truth once an update has been shared — any discrepancy between the two should be resolved in favour of the IDR master.</t>
  </si>
  <si>
    <t xml:space="preserve">On Track</t>
  </si>
  <si>
    <t xml:space="preserve">Progressing to plan, no material risk</t>
  </si>
  <si>
    <t xml:space="preserve">Dates against each Key Milestone should be driven by the department, not set independently within the plan. The date reflects the department's own committed timeline for that deliverable, which keeps ownership and accountability where it belongs and ensures the plan is targeting the right deliverables rather than dates the consultant has assumed on the department's behalf.</t>
  </si>
  <si>
    <t xml:space="preserve">At Risk</t>
  </si>
  <si>
    <t xml:space="preserve">Risk to schedule/scope — needs attention</t>
  </si>
  <si>
    <t xml:space="preserve">Not Started</t>
  </si>
  <si>
    <t xml:space="preserve">Work has not yet begun</t>
  </si>
  <si>
    <t xml:space="preserve">No Update Received</t>
  </si>
  <si>
    <t xml:space="preserve">No SME/department update provided this cycle</t>
  </si>
  <si>
    <t xml:space="preserve">Key Milestones</t>
  </si>
  <si>
    <t xml:space="preserve">Colour Conventions</t>
  </si>
  <si>
    <t xml:space="preserve">Expo 2027 Belgrade — Operations Project Plan</t>
  </si>
  <si>
    <t xml:space="preserve">Status Legend:</t>
  </si>
  <si>
    <t xml:space="preserve">SME Milestones (S21)</t>
  </si>
  <si>
    <t xml:space="preserve">Project:</t>
  </si>
  <si>
    <t xml:space="preserve">Belgrade 2027</t>
  </si>
  <si>
    <t xml:space="preserve"> </t>
  </si>
  <si>
    <t xml:space="preserve">Division:</t>
  </si>
  <si>
    <t xml:space="preserve">Operations</t>
  </si>
  <si>
    <t xml:space="preserve">Subtasks</t>
  </si>
  <si>
    <t xml:space="preserve">Scope:</t>
  </si>
  <si>
    <t xml:space="preserve">Operational Departments</t>
  </si>
  <si>
    <t xml:space="preserve">Last Updated:</t>
  </si>
  <si>
    <t xml:space="preserve">Tier</t>
  </si>
  <si>
    <t xml:space="preserve">Type</t>
  </si>
  <si>
    <t xml:space="preserve">Sector</t>
  </si>
  <si>
    <t xml:space="preserve">Department</t>
  </si>
  <si>
    <t xml:space="preserve">Sub-Team</t>
  </si>
  <si>
    <t xml:space="preserve">REF</t>
  </si>
  <si>
    <t xml:space="preserve">Deliverable</t>
  </si>
  <si>
    <t xml:space="preserve">Description of Service</t>
  </si>
  <si>
    <t xml:space="preserve">Owner / Support</t>
  </si>
  <si>
    <t xml:space="preserve">SME / SME</t>
  </si>
  <si>
    <t xml:space="preserve">Start Date</t>
  </si>
  <si>
    <t xml:space="preserve">End Date</t>
  </si>
  <si>
    <t xml:space="preserve">Comment</t>
  </si>
  <si>
    <t xml:space="preserve">Last Reported (Week Ending)</t>
  </si>
  <si>
    <t xml:space="preserve">% Complete</t>
  </si>
  <si>
    <t xml:space="preserve">This Week's Update (S21)</t>
  </si>
  <si>
    <t xml:space="preserve">Evidence/Link to Docs</t>
  </si>
  <si>
    <t xml:space="preserve">Accreditation (ACR)</t>
  </si>
  <si>
    <t xml:space="preserve">KM.100</t>
  </si>
  <si>
    <t xml:space="preserve">Event - Time Accreditation System - Go-Live</t>
  </si>
  <si>
    <t xml:space="preserve">Department Led</t>
  </si>
  <si>
    <t xml:space="preserve">Why are we printing ET so early? Or this is for bump in passes?</t>
  </si>
  <si>
    <t xml:space="preserve">KM.110</t>
  </si>
  <si>
    <t xml:space="preserve">Event Time Operations &amp; Programme Closure - Completed</t>
  </si>
  <si>
    <t xml:space="preserve">KM.140</t>
  </si>
  <si>
    <t xml:space="preserve">Accreditation Application Process Commence</t>
  </si>
  <si>
    <t xml:space="preserve">KM.144</t>
  </si>
  <si>
    <t xml:space="preserve">Accreditation Centre Fully Operational</t>
  </si>
  <si>
    <t xml:space="preserve">NEW</t>
  </si>
  <si>
    <t xml:space="preserve">Bump In passes Live</t>
  </si>
  <si>
    <t xml:space="preserve">Event Time Accreditation Stands Up</t>
  </si>
  <si>
    <t xml:space="preserve">Event Time Accrediation Stands Down </t>
  </si>
  <si>
    <t xml:space="preserve">Bump Out Passes Live</t>
  </si>
  <si>
    <t xml:space="preserve">Zoning Plan &amp; Privilege Matrix Approved</t>
  </si>
  <si>
    <t xml:space="preserve">Zoning plan and access privilege matrix signed off.</t>
  </si>
  <si>
    <t xml:space="preserve">Proposed new milestone - pending review</t>
  </si>
  <si>
    <t xml:space="preserve">Accreditation System &amp; Printers Procured</t>
  </si>
  <si>
    <t xml:space="preserve">Accreditation management system and printing hardware procured.</t>
  </si>
  <si>
    <t xml:space="preserve">Accreditation Categories &amp; Types Confirmed</t>
  </si>
  <si>
    <t xml:space="preserve">Full set of accreditation types and categories confirmed.</t>
  </si>
  <si>
    <t xml:space="preserve">SME Milestone</t>
  </si>
  <si>
    <t xml:space="preserve">CM.ACR.01</t>
  </si>
  <si>
    <t xml:space="preserve">Support with the establishment of the Accreditation Governance Framework</t>
  </si>
  <si>
    <t xml:space="preserve">Establish governance, reporting structures, decision-making processes, RACI and programme assurance approach</t>
  </si>
  <si>
    <t xml:space="preserve">SME-Led (S21)</t>
  </si>
  <si>
    <t xml:space="preserve">TBC if this is applicable </t>
  </si>
  <si>
    <t xml:space="preserve">CM.ACR.02</t>
  </si>
  <si>
    <t xml:space="preserve"> Accreditation Programme Review &amp; Readiness Assessment</t>
  </si>
  <si>
    <t xml:space="preserve">Review strategy, delivery roadmap, milestones, risks, dependencies and operational gaps</t>
  </si>
  <si>
    <t xml:space="preserve">CM.ACR.03</t>
  </si>
  <si>
    <t xml:space="preserve"> Accreditation Access Management Framework</t>
  </si>
  <si>
    <t xml:space="preserve">Review zoning plans, privilege matrices, access rights, access boards and approval processes</t>
  </si>
  <si>
    <t xml:space="preserve">CM.ACR.04</t>
  </si>
  <si>
    <t xml:space="preserve"> Accreditation System Implementation &amp; Readiness</t>
  </si>
  <si>
    <t xml:space="preserve">Provide assurance on system procurement, configuration, integration, testing and operational suitability</t>
  </si>
  <si>
    <t xml:space="preserve">CM.ACR.05</t>
  </si>
  <si>
    <t xml:space="preserve">Accreditation Compliance &amp; Data Management Processes</t>
  </si>
  <si>
    <t xml:space="preserve">Support GDPR, background checks, data handling, security compliance and governance requirements</t>
  </si>
  <si>
    <t xml:space="preserve">CM.ACR.06</t>
  </si>
  <si>
    <t xml:space="preserve">Accreditation Operational Planning</t>
  </si>
  <si>
    <t xml:space="preserve">Review accreditation types, pass design, registration processes, ALO mobilisation and accreditation centre operations</t>
  </si>
  <si>
    <t xml:space="preserve">CM.ACR.07</t>
  </si>
  <si>
    <t xml:space="preserve">Accreditation Operational Readiness Reviews</t>
  </si>
  <si>
    <t xml:space="preserve">Assess readiness against agreed criteria, facilitate stakeholder reviews and identify outstanding actions</t>
  </si>
  <si>
    <t xml:space="preserve">CM.ACR.08</t>
  </si>
  <si>
    <t xml:space="preserve">Bump-In/Bump-Out Strategy</t>
  </si>
  <si>
    <t xml:space="preserve">Review contractor access strategy, temporary accreditation processes and operational deployment plans</t>
  </si>
  <si>
    <t xml:space="preserve">C4i</t>
  </si>
  <si>
    <t xml:space="preserve">MOC Space Allocation Finalised </t>
  </si>
  <si>
    <t xml:space="preserve">I wouldn't use it as a key milestone. Instead space ready for operations and handed over to Space owner.</t>
  </si>
  <si>
    <t xml:space="preserve">Incident Logging &amp; Reporting Live</t>
  </si>
  <si>
    <t xml:space="preserve">MOC Stands Up</t>
  </si>
  <si>
    <t xml:space="preserve">01.May.27</t>
  </si>
  <si>
    <t xml:space="preserve">MOC Stands Down </t>
  </si>
  <si>
    <t xml:space="preserve">C4i Framework Approved</t>
  </si>
  <si>
    <t xml:space="preserve">Overarching Command, Control, Communications and Information framework signed off.</t>
  </si>
  <si>
    <t xml:space="preserve">MOC Operating Model Approved</t>
  </si>
  <si>
    <t xml:space="preserve">Main Operations Centre operating model agreed.</t>
  </si>
  <si>
    <t xml:space="preserve">Event-Time Governance &amp; Delegations Framework Signed Off</t>
  </si>
  <si>
    <t xml:space="preserve">Decision-making authority and delegations for event time agreed.</t>
  </si>
  <si>
    <t xml:space="preserve">C4i Communications &amp; Information Management Plan Approved</t>
  </si>
  <si>
    <t xml:space="preserve">Plan for communications and information flow across event time agreed.</t>
  </si>
  <si>
    <t xml:space="preserve">External Stakeholder Interface Protocols Agreed</t>
  </si>
  <si>
    <t xml:space="preserve">Interface protocols with external agencies and stakeholders confirmed.</t>
  </si>
  <si>
    <t xml:space="preserve">MOC Readiness Testing Programme Complete</t>
  </si>
  <si>
    <t xml:space="preserve">Testing programme for MOC systems and processes complete.</t>
  </si>
  <si>
    <t xml:space="preserve">C4i Stakeholder Integration Complete</t>
  </si>
  <si>
    <t xml:space="preserve">Integration of departmental desks and functional interfaces within the MOC complete.</t>
  </si>
  <si>
    <t xml:space="preserve">CM.C4i.01</t>
  </si>
  <si>
    <t xml:space="preserve"> C4i Governance &amp; Operating Frameworks</t>
  </si>
  <si>
    <t xml:space="preserve">Establish C4i governance, command and control principles, operating model, decision-making structures, reporting processes and operational interfaces.</t>
  </si>
  <si>
    <t xml:space="preserve">Teymur</t>
  </si>
  <si>
    <t xml:space="preserve">CM.C4i.01.1</t>
  </si>
  <si>
    <t xml:space="preserve">C4i baseline review and gap analysis complete</t>
  </si>
  <si>
    <t xml:space="preserve">Review the C4i Bridging Document V0, Belgrade ConOps, existing MOC design and comparator material against EX27 operational requirements, and issue the gap position.</t>
  </si>
  <si>
    <t xml:space="preserve">Integrate-first approach: baseline the incumbent position before proposing change.</t>
  </si>
  <si>
    <t xml:space="preserve">CM.C4i.01.2</t>
  </si>
  <si>
    <t xml:space="preserve">C4i Framework V1 produced</t>
  </si>
  <si>
    <t xml:space="preserve">Produce the C4i Framework covering purpose, principles, command tiers, operations centre architecture and the severity and escalation model.</t>
  </si>
  <si>
    <t xml:space="preserve">Anchor date for V1 is 18-Aug-26. Sections 1 to 4 complete at V1; Sections 5 to 9 stubbed pending the structural rulings at CM.C4i.01.2.3.</t>
  </si>
  <si>
    <t xml:space="preserve">CM.C4i.01.2.1</t>
  </si>
  <si>
    <t xml:space="preserve">Framework structure and section architecture agreed</t>
  </si>
  <si>
    <t xml:space="preserve">Agree the section skeleton and section owners before drafting content.</t>
  </si>
  <si>
    <t xml:space="preserve">CM.C4i.01.2.2</t>
  </si>
  <si>
    <t xml:space="preserve">Sections 1 to 4 drafted (purpose, principles, command tiers, centre architecture)</t>
  </si>
  <si>
    <t xml:space="preserve">Draft the framework foundation: C4i definition, operating principles, the four decision tiers and the MOC, EOC and coordination centre architecture.</t>
  </si>
  <si>
    <t xml:space="preserve">CM.C4i.01.2.3</t>
  </si>
  <si>
    <t xml:space="preserve">Structural decisions register issued for Project Director ruling</t>
  </si>
  <si>
    <t xml:space="preserve">Table the open structural decisions (including the EOC and MOC nesting question) for sign-off, so drafting of the remaining sections is unblocked.</t>
  </si>
  <si>
    <t xml:space="preserve">Dependant on Security C4i Alignment Meeting</t>
  </si>
  <si>
    <t xml:space="preserve">CM.C4i.01.3</t>
  </si>
  <si>
    <t xml:space="preserve">C4i terminology and naming conventions ratified</t>
  </si>
  <si>
    <t xml:space="preserve">Fix a single agreed vocabulary across all C4i documentation: C4i versus C4, EOC as the space and MOC as the function, the CMT naming clash (Crowd Management Team versus Crisis Management Team), and the Bronze, Silver, Gold and Political tier labels.</t>
  </si>
  <si>
    <t xml:space="preserve">CM.C4i.01.4</t>
  </si>
  <si>
    <t xml:space="preserve">C4i Framework V1 approved</t>
  </si>
  <si>
    <t xml:space="preserve">Framework V1 taken through review and formal approval.</t>
  </si>
  <si>
    <t xml:space="preserve">Gate. Unblocks CM.C4i.02.1 C4i Plan V1 drafting.</t>
  </si>
  <si>
    <t xml:space="preserve">CM.C4i.01.5</t>
  </si>
  <si>
    <t xml:space="preserve">C4i Framework V2 completed (Sections 5 to 9)</t>
  </si>
  <si>
    <t xml:space="preserve">Complete the remaining framework sections following the structural rulings, and reissue as V2.</t>
  </si>
  <si>
    <t xml:space="preserve">CM.C4i.01.6</t>
  </si>
  <si>
    <t xml:space="preserve">Framework socialisation and departmental briefing complete</t>
  </si>
  <si>
    <t xml:space="preserve">Brief departments and consortium partners on the framework, so the model is understood before it is applied through the C4i Plan and SOPs.</t>
  </si>
  <si>
    <t xml:space="preserve">Lead with education rather than ownership. Runs alongside the CM.C4i.06.6 alignment cadence.</t>
  </si>
  <si>
    <t xml:space="preserve">CM.C4i.02</t>
  </si>
  <si>
    <t xml:space="preserve">C4i Strategy, Plans &amp; Operational Protocols</t>
  </si>
  <si>
    <t xml:space="preserve">Review C4i framework, operational plans, SOPs, guidance documents and protocols to ensure alignment across departments, partners and agencies.</t>
  </si>
  <si>
    <t xml:space="preserve">PARENT (Tier 2, fixed). Mirrors C4i-S01.4 and C4i-S01.5. Feeds KM.139 Final C4 Conops Approved, KM.149 All Operating Plans Published (01-Dec-26), KM.143 All Operations Guides Published (01-Oct-26). DATE CHANGE PROPOSED: V1 end of 30-Jan-27 does not cover the SOP suite publication at 28-Feb-27.</t>
  </si>
  <si>
    <t xml:space="preserve">CM.C4i.02.1</t>
  </si>
  <si>
    <t xml:space="preserve">C4i Plan V1 drafted</t>
  </si>
  <si>
    <t xml:space="preserve">Full operational detail plan built on the approved framework.</t>
  </si>
  <si>
    <t xml:space="preserve">Dependent on CM.C4i.01.4 framework approval. Precedes C4i-S01.4 C4i Plan (Final) Approved (15-Jan-27).</t>
  </si>
  <si>
    <t xml:space="preserve">CM.C4i.02.1.1</t>
  </si>
  <si>
    <t xml:space="preserve">Plan structure and contents agreed with section owners</t>
  </si>
  <si>
    <t xml:space="preserve">Agreed skeleton, section owners and contribution deadlines before drafting starts.</t>
  </si>
  <si>
    <t xml:space="preserve">CM.C4i.02.1.2</t>
  </si>
  <si>
    <t xml:space="preserve">Core operating sections drafted</t>
  </si>
  <si>
    <t xml:space="preserve">Activation, operating modes, daily rhythm, reporting and interfaces written up.</t>
  </si>
  <si>
    <t xml:space="preserve">Draws on CM.C4i.03 operating model outputs.</t>
  </si>
  <si>
    <t xml:space="preserve">CM.C4i.02.1.3</t>
  </si>
  <si>
    <t xml:space="preserve">Annexes and quick-reference cards drafted</t>
  </si>
  <si>
    <t xml:space="preserve">Role cards, escalation cards, contact directory and communications annexes.</t>
  </si>
  <si>
    <t xml:space="preserve">CM.C4i.02.2</t>
  </si>
  <si>
    <t xml:space="preserve">Peak and special operating annexes drafted</t>
  </si>
  <si>
    <t xml:space="preserve">Named annexes for the periods that break steady state: Opening, National Days, Head of State and VIP visits, Closing, and adverse weather.</t>
  </si>
  <si>
    <t xml:space="preserve">Thinking about adding these annexes for specific operational days to streamline site-wide coms. An exposition runs an endurance operation with periodic peaks, not one spike. A single steady-state plan does not cover the peaks, and the peaks are where the model gets tested.</t>
  </si>
  <si>
    <t xml:space="preserve">CM.C4i.02.3</t>
  </si>
  <si>
    <t xml:space="preserve">Degraded and business continuity operating procedures defined</t>
  </si>
  <si>
    <t xml:space="preserve">Define how the MOC continues to operate when radio, the incident platform, network, power or the MOC facility itself is lost, including fallback location and manual logging procedure.</t>
  </si>
  <si>
    <t xml:space="preserve">NEW. Pairs with CM.C4i.07.3 technology resilience requirements. Distinct from crisis response, which sits outside the C4i model.</t>
  </si>
  <si>
    <t xml:space="preserve">CM.C4i.02.4</t>
  </si>
  <si>
    <t xml:space="preserve">C4i operational protocols and SOP suite defined</t>
  </si>
  <si>
    <t xml:space="preserve">Define and draft the SOP set: briefing materials, AM activation, escalation, shift handover, log keeping, SITREP, debrief and stand-down.</t>
  </si>
  <si>
    <t xml:space="preserve">Mirrors C4i-S01.5 C4i Operational Protocols &amp; Guidance Documents Published (28-Feb-27). Read across to CM.SEC.09 Security Operating Procedures Review (Matt/Steve).</t>
  </si>
  <si>
    <t xml:space="preserve">CM.C4i.02.4.1</t>
  </si>
  <si>
    <t xml:space="preserve">Core MOC SOPs drafted (activation, handover, log, SITREP, debrief)</t>
  </si>
  <si>
    <t xml:space="preserve">The non-negotiable operating procedures for the MOC.</t>
  </si>
  <si>
    <t xml:space="preserve">CM.C4i.02.4.2</t>
  </si>
  <si>
    <t xml:space="preserve">Interface SOPs drafted (EOC, external agency, partner centre)</t>
  </si>
  <si>
    <t xml:space="preserve">Procedures governing the seams between centres.</t>
  </si>
  <si>
    <t xml:space="preserve">Links C4i-S05.3, VMG-S02.2 and VMG-S02.3.</t>
  </si>
  <si>
    <t xml:space="preserve">CM.C4i.02.4.3</t>
  </si>
  <si>
    <t xml:space="preserve">SOP suite published and referenced in the C4i Plan</t>
  </si>
  <si>
    <t xml:space="preserve">Final versions issued to the CEG share drive and cross-referenced from the plan.</t>
  </si>
  <si>
    <t xml:space="preserve">CM.C4i.02.5</t>
  </si>
  <si>
    <t xml:space="preserve">C4i Plan (Final) submitted for approval</t>
  </si>
  <si>
    <t xml:space="preserve">Final plan issued for approval and publication.</t>
  </si>
  <si>
    <t xml:space="preserve">Mirrors C4i-S01.4 C4i Plan (Final) Approved (15-Jan-27). Also satisfies KM.139 Final C4 Conops Approved and KM.1 CONOPS Approved (15-Jan-27).</t>
  </si>
  <si>
    <t xml:space="preserve">CM.C4i.03</t>
  </si>
  <si>
    <t xml:space="preserve">MOC &amp; EOC Operating Models</t>
  </si>
  <si>
    <t xml:space="preserve">Support development of MOC and EOC structures, operating modes, staffing models, seating plans, operating rhythms and coordination centre requirements.</t>
  </si>
  <si>
    <t xml:space="preserve">PARENT (Tier 2, fixed). Mirrors dept task C4i-T02. Feeds KM MOC Operating Model Approved (15-Sep-26). DATE CHANGE PROPOSED: the master parent end of 15-Sep-26 covers V1 only; C4i-S02.9 Final Operating Model sits at 10-Feb-27.</t>
  </si>
  <si>
    <t xml:space="preserve">CM.C4i.03.1</t>
  </si>
  <si>
    <t xml:space="preserve">MOC operational requirements defined</t>
  </si>
  <si>
    <t xml:space="preserve">Define what the MOC must be able to do: functions, occupancy, adjacency, technology and resilience requirements.</t>
  </si>
  <si>
    <t xml:space="preserve">Mirrors C4i-S02.1 MOC Operational Requirements Defined (15-Aug-26).</t>
  </si>
  <si>
    <t xml:space="preserve">CM.C4i.03.2</t>
  </si>
  <si>
    <t xml:space="preserve">MOC space, layout and seating plan reviewed</t>
  </si>
  <si>
    <t xml:space="preserve">Review the existing MOC room layout and fit-out against operational requirements, and advise on seating and space allocation rather than propose a competing layout.</t>
  </si>
  <si>
    <t xml:space="preserve">Mirrors C4i-S02.2 MOC Space Design Complete (30-Sep-26) and C4i-S02.5 MOC Departmental Seating &amp; Space Allocation Plan Approved (30-Nov-26). Existing layout and fit-out work is Security-owned, credit explicitly. Links SEC-S02.3.</t>
  </si>
  <si>
    <t xml:space="preserve">CM.C4i.03.3</t>
  </si>
  <si>
    <t xml:space="preserve">MOC FF&amp;E and as-built gap schedule issued</t>
  </si>
  <si>
    <t xml:space="preserve">Compare the as-built MOC against the operational requirement and issue a costed gap schedule for furniture, fittings and equipment, with a procurement route for each line.</t>
  </si>
  <si>
    <t xml:space="preserve">NEW. Currently the top escalated blocker (FF&amp;E scoping and procurement). Without a costed schedule and a named procurement owner, the seating plan and the operating model both stall.</t>
  </si>
  <si>
    <t xml:space="preserve">CM.C4i.03.4</t>
  </si>
  <si>
    <t xml:space="preserve">MOC Operating Model V1 published</t>
  </si>
  <si>
    <t xml:space="preserve">Support production and publication of the V1 MOC operating model.</t>
  </si>
  <si>
    <t xml:space="preserve">Mirrors C4i-S02.3 (30-Sep-26). Read across to KM.147 MOC Security Operating Model Approved (SEC, 15-Nov-26). Two operating models must not diverge.</t>
  </si>
  <si>
    <t xml:space="preserve">CM.C4i.03.5</t>
  </si>
  <si>
    <t xml:space="preserve">EOC and departmental coordination centre model V1</t>
  </si>
  <si>
    <t xml:space="preserve">Define the departmental coordination centre tier: which departments run one, what it does and how it reports into the MOC.</t>
  </si>
  <si>
    <t xml:space="preserve">Mirrors C4i-S02.4 (30-Sep-26). Overlaps VMG-T02, VMG-S02.3, KM Expo Operations Centre (EOC) Delivered (01-Dec-26) and CM.VMG.T08 (Ilkin). Coordinate with Ilkin to avoid duplicate deliverables. Working position: EOC is the space, MOC is the function within it.</t>
  </si>
  <si>
    <t xml:space="preserve">CM.C4i.03.6</t>
  </si>
  <si>
    <t xml:space="preserve">MOC and EOC representation confirmed (departments, zones, seats)</t>
  </si>
  <si>
    <t xml:space="preserve">Close out the placeholder department list and zone count, and confirm which functions are seated, which are on call and which are remote.</t>
  </si>
  <si>
    <t xml:space="preserve">NEW. Department list and zone count are currently placeholders in several documents. Seating, fleetmap, staffing and accreditation all depend on one confirmed structure, so this needs to resolve once rather than per document.</t>
  </si>
  <si>
    <t xml:space="preserve">CM.C4i.03.7</t>
  </si>
  <si>
    <t xml:space="preserve">MOC staffing and shift model developed (full operating period)</t>
  </si>
  <si>
    <t xml:space="preserve">Develop the staffing model, position list and shift pattern required to run the MOC across pre-opening, the 93 operating days and post-closure.</t>
  </si>
  <si>
    <t xml:space="preserve">Mirrors C4i-S02.6 MOC Staffing &amp; Shift Model Approved (20-Dec-26). RENAMED from the V1 wording 93-day shift model: the 93 days cover the core Expo period only (15-May to 15-Aug-27); MOC operations begin before opening and continue after closing. Feeds WKF-S01.1 and WKF-S01.3.</t>
  </si>
  <si>
    <t xml:space="preserve">CM.C4i.03.7.1</t>
  </si>
  <si>
    <t xml:space="preserve">MOC position list and role cards drafted</t>
  </si>
  <si>
    <t xml:space="preserve">Every seat in the room defined with a role card.</t>
  </si>
  <si>
    <t xml:space="preserve">Feeds WKF-S01.3 position catalogue (titles, JDs, locations, training, accreditation zones).</t>
  </si>
  <si>
    <t xml:space="preserve">CM.C4i.03.7.2</t>
  </si>
  <si>
    <t xml:space="preserve">Shift pattern and rota modelled across the full operating period</t>
  </si>
  <si>
    <t xml:space="preserve">Shift lengths, coverage, rest compliance and reliever requirement, modelled separately for ramp-up, steady state and peak days.</t>
  </si>
  <si>
    <t xml:space="preserve">Must comply with WKF-S07.27 Shift Duration and Rest Policy and WKF-S07.28.</t>
  </si>
  <si>
    <t xml:space="preserve">CM.C4i.03.7.3</t>
  </si>
  <si>
    <t xml:space="preserve">Fatigue, welfare and rotation model defined for sustained operations</t>
  </si>
  <si>
    <t xml:space="preserve">Rotation, leave, reliever depth and fatigue management designed for a multi-month run rather than a short surge.</t>
  </si>
  <si>
    <t xml:space="preserve">NEW. The workforce model observed through the MZE series is built for a spike, not a marathon. This is the C4i-side correction for the MOC roster.</t>
  </si>
  <si>
    <t xml:space="preserve">CM.C4i.03.7.4</t>
  </si>
  <si>
    <t xml:space="preserve">MOC headcount submitted into Workforce master plan</t>
  </si>
  <si>
    <t xml:space="preserve">Numbers issued to Workforce for consolidation.</t>
  </si>
  <si>
    <t xml:space="preserve">Feeds WKF-S01.1 and WKF-S01.2 Master Headcount Plan Consolidated (31-Dec-26) and KM.3 Event-Time Headcount Approved (15-Jan-27).</t>
  </si>
  <si>
    <t xml:space="preserve">CM.C4i.03.7.5</t>
  </si>
  <si>
    <t xml:space="preserve">MOC positions dot-planned and accreditation zones confirmed</t>
  </si>
  <si>
    <t xml:space="preserve">MOC positions entered against locations and zone privileges confirmed.</t>
  </si>
  <si>
    <t xml:space="preserve">Links WKF-S01.8 and WKF-S01.9 Dot-Planning V2 Complete (29-Oct-26) and ACR-T01 Zoning Plan &amp; Privilege Matrix.</t>
  </si>
  <si>
    <t xml:space="preserve">CM.C4i.03.7.6</t>
  </si>
  <si>
    <t xml:space="preserve">MOC and EOC structures reflected in ETOS</t>
  </si>
  <si>
    <t xml:space="preserve">MOC and EOC structures represented in the event-time organisational structure.</t>
  </si>
  <si>
    <t xml:space="preserve">End date added (blank in V1). Links WKF-S01.10, WKF-S01.11 and KM.16 Final Event-Time Operating Structure Published (15-Nov-26).</t>
  </si>
  <si>
    <t xml:space="preserve">CM.C4i.03.8</t>
  </si>
  <si>
    <t xml:space="preserve">MOC access, room discipline and visitor protocol defined</t>
  </si>
  <si>
    <t xml:space="preserve">Define who is entitled to be in the room, under what accreditation, and the protocol for observers, VIPs, dignitaries and media visits.</t>
  </si>
  <si>
    <t xml:space="preserve">NEW. A command room with an undefined guest list stops being a command room on day one. Links ACR-T01 privilege matrix and CM.C4i.03.7.5.</t>
  </si>
  <si>
    <t xml:space="preserve">CM.C4i.03.9</t>
  </si>
  <si>
    <t xml:space="preserve">MOC operating modes defined (Normal, Heightened, Incident, Crisis)</t>
  </si>
  <si>
    <t xml:space="preserve">Define the operating modes, their triggers, who authorises a mode change and what changes in each.</t>
  </si>
  <si>
    <t xml:space="preserve">Mirrors C4i-S02.7 (dept row shows 20-Dec-27, likely a typo for 2026, flag to owner). Triggers must align to CM.C4i.04 thresholds and VMG-S00.0.8.</t>
  </si>
  <si>
    <t xml:space="preserve">CM.C4i.03.10</t>
  </si>
  <si>
    <t xml:space="preserve">MOC daily rhythm published</t>
  </si>
  <si>
    <t xml:space="preserve">Define the daily cycle: briefings, SITREP cut-offs, handovers, meeting cadence and reporting deadlines.</t>
  </si>
  <si>
    <t xml:space="preserve">Mirrors C4i-S02.8 (10-Feb-27). Direct overlap with VMG-S05.1 Daily Run Sheet, VMG-S05.2 Pre-Event Checklist and KM Daily Command &amp; Control Rhythm Established (01-Feb-27). Feeds CM.C4i.05.4 SITREP cadence. Must close the 09:30 to 10:00 service gap observed across the MZE series.</t>
  </si>
  <si>
    <t xml:space="preserve">CM.C4i.03.11</t>
  </si>
  <si>
    <t xml:space="preserve">MOC welfare, catering and sustainment arrangements confirmed</t>
  </si>
  <si>
    <t xml:space="preserve">Confirm the practical sustainment of a room that runs for months: catering, breaks, rest space, cleaning, consumables and out-of-hours access.</t>
  </si>
  <si>
    <t xml:space="preserve">NEW. Endurance operation. Unglamorous and routinely forgotten until week two. Links LOG and WKF catering arrangements.</t>
  </si>
  <si>
    <t xml:space="preserve">CM.C4i.03.12</t>
  </si>
  <si>
    <t xml:space="preserve">MOC and EOC Operating Model (Final) approved</t>
  </si>
  <si>
    <t xml:space="preserve">Final consolidated operating model taken to approval.</t>
  </si>
  <si>
    <t xml:space="preserve">Mirrors C4i-S02.9 (10-Feb-27).</t>
  </si>
  <si>
    <t xml:space="preserve">CM.C4i.04</t>
  </si>
  <si>
    <t xml:space="preserve">Command, Decision-Making &amp; Escalation Frameworks</t>
  </si>
  <si>
    <t xml:space="preserve">Assess delegations of authority, decision thresholds, escalation pathways, issue management processes and incident response arrangements.</t>
  </si>
  <si>
    <t xml:space="preserve">PARENT (Tier 2, fixed). Mirrors dept task C4i-T03. Parent end date was blank in V1 and is proposed here. Feeds KM Event-Time Governance &amp; Delegations Framework Signed Off (01-Oct-26) and KM Incident Management &amp; Escalation Framework Approved (VMG, 15-Nov-26).</t>
  </si>
  <si>
    <t xml:space="preserve">CM.C4i.04.1</t>
  </si>
  <si>
    <t xml:space="preserve">Delegations of authority and decision thresholds defined</t>
  </si>
  <si>
    <t xml:space="preserve">Define who holds which decision, at which command tier, and the financial and operational thresholds attached.</t>
  </si>
  <si>
    <t xml:space="preserve">Mirrors C4i-S03.1 (31-Oct-26). Builds on the tier model in CM.C4i.01.2.2. Target: roughly 95 percent of decisions resolving at Bronze.</t>
  </si>
  <si>
    <t xml:space="preserve">CM.C4i.04.1.1</t>
  </si>
  <si>
    <t xml:space="preserve">Decision inventory built</t>
  </si>
  <si>
    <t xml:space="preserve">Catalogue of the decisions that actually get made during operations, sourced from the MZE observations and departmental interviews.</t>
  </si>
  <si>
    <t xml:space="preserve">CM.C4i.04.1.2</t>
  </si>
  <si>
    <t xml:space="preserve">Thresholds and delegation levels assigned by tier</t>
  </si>
  <si>
    <t xml:space="preserve">Each decision mapped to a tier and a named authority.</t>
  </si>
  <si>
    <t xml:space="preserve">CM.C4i.04.1.3</t>
  </si>
  <si>
    <t xml:space="preserve">Off-hours and degraded-mode delegations defined</t>
  </si>
  <si>
    <t xml:space="preserve">Who decides when the primary authority is unavailable.</t>
  </si>
  <si>
    <t xml:space="preserve">Links VMG-T01 Define Off-Hours Operating Model.</t>
  </si>
  <si>
    <t xml:space="preserve">CM.C4i.04.2</t>
  </si>
  <si>
    <t xml:space="preserve">Political tier routing defined (Rights Holder and Host State lanes)</t>
  </si>
  <si>
    <t xml:space="preserve">Split the Political tier into a rights holder lane (BIE and exposition governance) and a host state lane (Serbian government), each with a named entry point, so escalation routing names which door rather than just saying Political.</t>
  </si>
  <si>
    <t xml:space="preserve">NEW. The two lanes hold different authorities and escalate in different directions. Collapsing them creates ambiguous routing during a live incident, which is exactly when it cannot be worked out on the fly.</t>
  </si>
  <si>
    <t xml:space="preserve">CM.C4i.04.3</t>
  </si>
  <si>
    <t xml:space="preserve">Authority matrix and escalation pathways approved</t>
  </si>
  <si>
    <t xml:space="preserve">Produce the authority matrix and the escalation routes between Bronze, Silver, Gold and Political.</t>
  </si>
  <si>
    <t xml:space="preserve">Mirrors C4i-S03.2 (30-Nov-26). Read across to SEC-S00.3 Roles &amp; Responsibilities Matrix (RACI) and CM.SEC.05 Joint Agency Governance Framework Design, to avoid two competing matrices. No-bypass escalation is the governing principle.</t>
  </si>
  <si>
    <t xml:space="preserve">CM.C4i.04.4</t>
  </si>
  <si>
    <t xml:space="preserve">Issue resolution and risk escalation framework published</t>
  </si>
  <si>
    <t xml:space="preserve">Define how issues and risks are raised, triaged, owned and escalated during operations, using the Log, Case, Incident, Issue, Crisis ladder.</t>
  </si>
  <si>
    <t xml:space="preserve">Mirrors C4i-S03.3 (31-Dec-26). Reuse the MZE observations and actions tracker structure. Talk-first-then-log applies: talk to the owning function before logging, so logs are not read as complaints.</t>
  </si>
  <si>
    <t xml:space="preserve">CM.C4i.04.5</t>
  </si>
  <si>
    <t xml:space="preserve">Departmental escalation routes mapped and reconciled</t>
  </si>
  <si>
    <t xml:space="preserve">Map each department's own escalation route into the C4i model and reconcile the inconsistencies.</t>
  </si>
  <si>
    <t xml:space="preserve">Cross-department: GTS-T06, TMO-S02.4, TMO-S05.4, CAW-T07, WKF-S07.7, VOL communication and incident response protocol, VMG-S00.0.8.</t>
  </si>
  <si>
    <t xml:space="preserve">CM.C4i.04.6</t>
  </si>
  <si>
    <t xml:space="preserve">C4i to crisis management interface defined</t>
  </si>
  <si>
    <t xml:space="preserve">Define the trigger that moves an event out of the C4i model and into crisis response, who makes that call, how command transfers and how it returns.</t>
  </si>
  <si>
    <t xml:space="preserve">NEW. Crisis and emergency response sit outside C4i in a separate procedure, so the seam between the two needs writing down. Also resolves the CMT naming clash in practice. Links CM.CMT.02 Evacuation &amp; Emergency Response Plan Review.</t>
  </si>
  <si>
    <t xml:space="preserve">CM.C4i.04.7</t>
  </si>
  <si>
    <t xml:space="preserve">Scenario-based validation of decision thresholds complete</t>
  </si>
  <si>
    <t xml:space="preserve">Test the thresholds and escalation routes against realistic scenarios and refine.</t>
  </si>
  <si>
    <t xml:space="preserve">Mirrors C4i-S03.4 (date TBC in dept plan). Delivered through the TTX at CM.C4i.08.4, not as a separate exercise. Also links CM.SEC.07.</t>
  </si>
  <si>
    <t xml:space="preserve">CM.C4i.05</t>
  </si>
  <si>
    <t xml:space="preserve">Communications &amp; Information Management Frameworks</t>
  </si>
  <si>
    <t xml:space="preserve">Review communication protocols, radio structures, incident reporting requirements, common operating picture, SITREP processes and information flows.</t>
  </si>
  <si>
    <t xml:space="preserve">CM.C4i.05.1</t>
  </si>
  <si>
    <t xml:space="preserve">Incident logging and reporting requirements issued to IMS supplier</t>
  </si>
  <si>
    <t xml:space="preserve">Define and issue the incident logging, categorisation and reporting requirements the incident platform must satisfy.</t>
  </si>
  <si>
    <t xml:space="preserve">Mirrors C4i-S04.1 (30-Sep-26). Dependency on VMG-T03 and VMG-S03.1. Must land before KM.15 Technology Business Requirements Freeze.</t>
  </si>
  <si>
    <t xml:space="preserve">CM.C4i.05.1.1</t>
  </si>
  <si>
    <t xml:space="preserve">Incident categories and severity scale defined</t>
  </si>
  <si>
    <t xml:space="preserve">Categories, severity levels and mandatory data fields, using the Log, Case, Incident, Issue, Crisis ladder.</t>
  </si>
  <si>
    <t xml:space="preserve">CM.C4i.05.1.2</t>
  </si>
  <si>
    <t xml:space="preserve">Logging workflow, ownership and audit rules defined</t>
  </si>
  <si>
    <t xml:space="preserve">Who logs, who triages, who closes, and the audit requirements.</t>
  </si>
  <si>
    <t xml:space="preserve">CM.C4i.05.1.3</t>
  </si>
  <si>
    <t xml:space="preserve">Requirements pack issued to IMS and Technology</t>
  </si>
  <si>
    <t xml:space="preserve">Formal handover of requirements to the platform workstream.</t>
  </si>
  <si>
    <t xml:space="preserve">Recipient: VMG-S03.1 and IT. Links VMG-S03.2 Incident Location Identification.</t>
  </si>
  <si>
    <t xml:space="preserve">CM.C4i.05.2</t>
  </si>
  <si>
    <t xml:space="preserve">Common Operating Picture requirements defined</t>
  </si>
  <si>
    <t xml:space="preserve">Define what the COP must show, to whom, at what refresh rate and from which source systems.</t>
  </si>
  <si>
    <t xml:space="preserve">Mirrors C4i-S04.2 (31-Oct-26). Source systems span VMG (IMS, BMS), TMO-T07, CMT-T06, WKF-T03 and ACR.</t>
  </si>
  <si>
    <t xml:space="preserve">CM.C4i.05.3</t>
  </si>
  <si>
    <t xml:space="preserve">C4i communication protocols defined (internal and external)</t>
  </si>
  <si>
    <t xml:space="preserve">Define the communication protocols, channels, conventions and escalation communications between centres, departments and external agencies.</t>
  </si>
  <si>
    <t xml:space="preserve">Mirrors C4i-S04.3 (30-Nov-26). Overlaps SEC-S01.6, SEC-S01.5, TMO-S03.4 and VOL comms protocols.</t>
  </si>
  <si>
    <t xml:space="preserve">CM.C4i.05.3.1</t>
  </si>
  <si>
    <t xml:space="preserve">Channel, callsign and voice procedure conventions issued</t>
  </si>
  <si>
    <t xml:space="preserve">Naming, callsign structure and voice procedure standards, common across departments.</t>
  </si>
  <si>
    <t xml:space="preserve">NEW. Feeds the fleetmap at CM.C4i.05.7 and the training packages at CM.C4i.08.3.</t>
  </si>
  <si>
    <t xml:space="preserve">CM.C4i.05.4</t>
  </si>
  <si>
    <t xml:space="preserve">SITREP templates and reporting cadence approved</t>
  </si>
  <si>
    <t xml:space="preserve">Design the situation reporting templates, cut-off times and distribution lists.</t>
  </si>
  <si>
    <t xml:space="preserve">Mirrors C4i-S04.4 (31-Dec-26). Must align to CM.C4i.03.10 operating rhythm and VMG-S05.1 Daily Run Sheet.</t>
  </si>
  <si>
    <t xml:space="preserve">CM.C4i.05.5</t>
  </si>
  <si>
    <t xml:space="preserve">MOC to Communications and public information interface agreed</t>
  </si>
  <si>
    <t xml:space="preserve">Agree how operational information reaches the communications function, who authorises public statements, and how holding lines are triggered from the MOC.</t>
  </si>
  <si>
    <t xml:space="preserve">NEW. Currently no defined route from the operational picture to the public message. This is a predictable failure point at the first incident with a camera on it.</t>
  </si>
  <si>
    <t xml:space="preserve">CM.C4i.05.6</t>
  </si>
  <si>
    <t xml:space="preserve">Information management, records and retention requirements defined</t>
  </si>
  <si>
    <t xml:space="preserve">Log retention, evidential standard, data protection and legal hold requirements for MOC records.</t>
  </si>
  <si>
    <t xml:space="preserve">NEW. The I in C4i covers the record as well as the flow. Also protects the organisation post-event.</t>
  </si>
  <si>
    <t xml:space="preserve">CM.C4i.05.7</t>
  </si>
  <si>
    <t xml:space="preserve">Org-wide radio fleetmap developed and issued for programming</t>
  </si>
  <si>
    <t xml:space="preserve">Build the organisation-wide radio fleetmap and hand it to Technology for programming.</t>
  </si>
  <si>
    <t xml:space="preserve">Mirrors C4i-S04.5 (28-Feb-27). Stand-ups with Venue Management already running. VMG fleetmaps (VMG-S05.3) must nest inside the org-wide map, not sit alongside it. FLEETMAP OWNERSHIP STILL UNCONFIRMED, see QA Flags.</t>
  </si>
  <si>
    <t xml:space="preserve">CM.C4i.05.7.1</t>
  </si>
  <si>
    <t xml:space="preserve">Departmental radio requirements collected</t>
  </si>
  <si>
    <t xml:space="preserve">Talkgroup, user and coverage requirements gathered per department.</t>
  </si>
  <si>
    <t xml:space="preserve">CM.C4i.05.7.2</t>
  </si>
  <si>
    <t xml:space="preserve">Talkgroup architecture and callsign convention drafted</t>
  </si>
  <si>
    <t xml:space="preserve">Fleetmap logical design agreed.</t>
  </si>
  <si>
    <t xml:space="preserve">CM.C4i.05.7.3</t>
  </si>
  <si>
    <t xml:space="preserve">Radio hardware quantity schedule issued</t>
  </si>
  <si>
    <t xml:space="preserve">Handset, spare and accessory quantities by department and shift.</t>
  </si>
  <si>
    <t xml:space="preserve">Feeds procurement and CM.WKF.07 Workforce Uniform &amp; Equipment Planning.</t>
  </si>
  <si>
    <t xml:space="preserve">CM.C4i.05.7.4</t>
  </si>
  <si>
    <t xml:space="preserve">Fleetmap V1 issued to Technology for programming</t>
  </si>
  <si>
    <t xml:space="preserve">Formal issue for programming and spectrum coordination.</t>
  </si>
  <si>
    <t xml:space="preserve">Links SEC-S00.8 Wireless Spectrum Activity Plan and KM.12 Technology Design Freeze (15-Mar-27).</t>
  </si>
  <si>
    <t xml:space="preserve">CM.C4i.05.8</t>
  </si>
  <si>
    <t xml:space="preserve">IMS configuration validated against C4i requirements</t>
  </si>
  <si>
    <t xml:space="preserve">Validate the delivered platform configuration against the issued C4i requirements and log the gaps.</t>
  </si>
  <si>
    <t xml:space="preserve">Mirrors C4i-S04.6 (28-Feb-27). DATE RISK: VMG-S03.5 Test End to End completes 01-May-27, so validation is currently scheduled before its own input. See QA Flags.</t>
  </si>
  <si>
    <t xml:space="preserve">CM.C4i.05.9</t>
  </si>
  <si>
    <t xml:space="preserve">Video wall and COP content plan approved</t>
  </si>
  <si>
    <t xml:space="preserve">Agree what is displayed on the MOC video wall, in what layout, sourced from where and maintained by whom.</t>
  </si>
  <si>
    <t xml:space="preserve">Mirrors C4i-S04.7 (31-Mar-27). Links VMG-S04.4 and KM.12 Technology Design Freeze.</t>
  </si>
  <si>
    <t xml:space="preserve">CM.C4i.06</t>
  </si>
  <si>
    <t xml:space="preserve">Stakeholder Integration &amp; Interface Management</t>
  </si>
  <si>
    <t xml:space="preserve">Establish coordination frameworks, stakeholder maps, RACI models and working arrangements between MOC, EOCs, departments and external agencies.</t>
  </si>
  <si>
    <t xml:space="preserve">CM.C4i.06.1</t>
  </si>
  <si>
    <t xml:space="preserve">C4i stakeholder map and interface register complete</t>
  </si>
  <si>
    <t xml:space="preserve">Build the stakeholder map and the register of every interface the C4i model has to manage.</t>
  </si>
  <si>
    <t xml:space="preserve">CM.C4i.06.2</t>
  </si>
  <si>
    <t xml:space="preserve">C4i RACI matrix approved</t>
  </si>
  <si>
    <t xml:space="preserve">Produce and secure approval of the C4i RACI across departments and command tiers.</t>
  </si>
  <si>
    <t xml:space="preserve">CM.C4i.06.3</t>
  </si>
  <si>
    <t xml:space="preserve">External agency identification and engagement plan issued</t>
  </si>
  <si>
    <t xml:space="preserve">Identify every external agency in the C4i environment, confirm each one's mode of presence per location (seated, remote or on call), assign liaison owners and set the engagement cadence.</t>
  </si>
  <si>
    <t xml:space="preserve">CM.C4i.06.4</t>
  </si>
  <si>
    <t xml:space="preserve">EOC interface protocols agreed with departments</t>
  </si>
  <si>
    <t xml:space="preserve">Agree the working protocols between the MOC and each departmental coordination centre.</t>
  </si>
  <si>
    <t xml:space="preserve">CM.C4i.06.5</t>
  </si>
  <si>
    <t xml:space="preserve">External agency integration arrangements confirmed</t>
  </si>
  <si>
    <t xml:space="preserve">Confirm working arrangements with police, fire, medical, city authorities and partner operations centres.</t>
  </si>
  <si>
    <t xml:space="preserve">CM.C4i.06.6</t>
  </si>
  <si>
    <t xml:space="preserve">C4i alignment governance maintained (recurring)</t>
  </si>
  <si>
    <t xml:space="preserve">Maintain the standing alignment cadence with Security, Venue Management and the Operations Director through to activation.</t>
  </si>
  <si>
    <t xml:space="preserve">CM.C4i.07</t>
  </si>
  <si>
    <t xml:space="preserve">C4i Systems &amp; Technology Integration</t>
  </si>
  <si>
    <t xml:space="preserve">Support IMS configuration, technology integration, video wall requirements, communications systems and operational readiness of C4i platforms.</t>
  </si>
  <si>
    <t xml:space="preserve">CM.C4i.07.1</t>
  </si>
  <si>
    <t xml:space="preserve">C4i systems integration map produced</t>
  </si>
  <si>
    <t xml:space="preserve">Map every system the MOC depends on, the data it needs from each and the integration status.</t>
  </si>
  <si>
    <t xml:space="preserve">Spans VMG-T03 IMS, TMO-T07, CMT-T06, WKF-T03, ACR (CM.ACR.04), FMT-S07.1 and LOG-S04.1.</t>
  </si>
  <si>
    <t xml:space="preserve">CM.C4i.07.2</t>
  </si>
  <si>
    <t xml:space="preserve">IMS functional requirements and configuration support</t>
  </si>
  <si>
    <t xml:space="preserve">Support platform specification, configuration decisions and acceptance criteria on behalf of C4i.</t>
  </si>
  <si>
    <t xml:space="preserve">Sibling of CM.C4i.05.1 and CM.C4i.05.8. Owner-side rows: VMG-S03.1, VMG-S03.2, VMG-S03.5. SME-side sibling: CM.VMG.T09 (Ilkin).</t>
  </si>
  <si>
    <t xml:space="preserve">CM.C4i.07.3</t>
  </si>
  <si>
    <t xml:space="preserve">MOC technology resilience and failover requirements issued</t>
  </si>
  <si>
    <t xml:space="preserve">Identify the single points of failure across radio, incident platform, network, power and display, and state the required fallback for each.</t>
  </si>
  <si>
    <t xml:space="preserve">NEW. Pairs with CM.C4i.02.3 degraded operating procedures: one states what the technology must do, the other states what people do when it does not.</t>
  </si>
  <si>
    <t xml:space="preserve">CM.C4i.07.4</t>
  </si>
  <si>
    <t xml:space="preserve">MOC display and video wall technical requirements issued</t>
  </si>
  <si>
    <t xml:space="preserve">Issue the technical specification for MOC displays, sources and control.</t>
  </si>
  <si>
    <t xml:space="preserve">Precedes CM.C4i.05.9 content plan. Links VMG-S04.4 and KM.12 Technology Design Freeze.</t>
  </si>
  <si>
    <t xml:space="preserve">CM.C4i.07.5</t>
  </si>
  <si>
    <t xml:space="preserve">Radio and voice communications systems integration supported</t>
  </si>
  <si>
    <t xml:space="preserve">Support integration of radio, telephony, PA and voice alarm into the C4i operating picture.</t>
  </si>
  <si>
    <t xml:space="preserve">Links VMG-S04.1, VMG-S04.2 and SEC-S00.8.</t>
  </si>
  <si>
    <t xml:space="preserve">CM.C4i.07.6</t>
  </si>
  <si>
    <t xml:space="preserve">C4i participation in Technology Rehearsals 1 and 2</t>
  </si>
  <si>
    <t xml:space="preserve">Represent C4i requirements in the technology rehearsal programme and log defects.</t>
  </si>
  <si>
    <t xml:space="preserve">Mirrors KM.13 (10-Apr-27) and KM.14 (15-Apr-27). Also links KM.117 Technical Security Systems Integrated (31-Mar-27).</t>
  </si>
  <si>
    <t xml:space="preserve">CM.C4i.08</t>
  </si>
  <si>
    <t xml:space="preserve">C4i Training &amp; Exercise Frameworks</t>
  </si>
  <si>
    <t xml:space="preserve">Support development of training materials, exercise scenarios, tabletop exercises and simulation activities to validate C4i processes.</t>
  </si>
  <si>
    <t xml:space="preserve">CM.C4i.08.1</t>
  </si>
  <si>
    <t xml:space="preserve">Exercise and training progression strategy defined</t>
  </si>
  <si>
    <t xml:space="preserve">Define the progression from model zone exercises through tabletop to live play, and what each stage is validating.</t>
  </si>
  <si>
    <t xml:space="preserve">Umbrella for the exercise programme. Read across to CM.CMT.10, CM.SEC.07, CM.TMO.07 and CM.VMG.T01, to avoid four separate exercise programmes running against the same people.</t>
  </si>
  <si>
    <t xml:space="preserve">CM.C4i.08.2</t>
  </si>
  <si>
    <t xml:space="preserve">Model Zone Exercise programme: C4i contribution and outputs</t>
  </si>
  <si>
    <t xml:space="preserve">C4i design, facilitation and reporting contribution to the MZE series, including the observations and actions tracker and the leadership report.</t>
  </si>
  <si>
    <t xml:space="preserve">SLIMMED: the MZE programme itself is owned and tracked under CM.VMG.T01 and CM.VMG.S01.1 to S01.8 (Ilkin). This row records the C4i contribution only and points at the VMG refs, rather than duplicating the programme. Outputs: MZE Observations and Actions Tracker V1.4, leadership deck, nine headline observations.</t>
  </si>
  <si>
    <t xml:space="preserve">CM.C4i.08.3</t>
  </si>
  <si>
    <t xml:space="preserve">MOC training packages developed (MOC MOC, Who's There)</t>
  </si>
  <si>
    <t xml:space="preserve">Develop the training packages for MOC and EOC staff, by role.</t>
  </si>
  <si>
    <t xml:space="preserve">Mirrors C4i-S06.1 (28-Feb-27). Must route through the LMS: WKF-T04, WKF-S04.1, WKF-S04.2, CM.WKF.05 and CM.WKF.06 (Kirsty). Also WKF-S05.2 and WKF-S05.4 Training Strategy &amp; Methodology.</t>
  </si>
  <si>
    <t xml:space="preserve">CM.C4i.08.3.1</t>
  </si>
  <si>
    <t xml:space="preserve">MOC training needs analysis by role</t>
  </si>
  <si>
    <t xml:space="preserve">What each seat in the room needs to know and be able to do.</t>
  </si>
  <si>
    <t xml:space="preserve">Derived from CM.C4i.03.7.1 role cards.</t>
  </si>
  <si>
    <t xml:space="preserve">CM.C4i.08.3.2</t>
  </si>
  <si>
    <t xml:space="preserve">Core C4i awareness module developed</t>
  </si>
  <si>
    <t xml:space="preserve">Common module for all MOC and EOC facing staff, covering the tiers, the escalation ladder and radio-first discipline.</t>
  </si>
  <si>
    <t xml:space="preserve">Delivered via LMS (WKF-T04).</t>
  </si>
  <si>
    <t xml:space="preserve">CM.C4i.08.3.3</t>
  </si>
  <si>
    <t xml:space="preserve">Role-specific MOC and EOC modules developed</t>
  </si>
  <si>
    <t xml:space="preserve">Position-specific training content and assessment.</t>
  </si>
  <si>
    <t xml:space="preserve">Links KM.121 Staff and Vendor VST/RST Training Complete (01-Apr-27) and KM.17 General Training Commence (01-Dec-26).</t>
  </si>
  <si>
    <t xml:space="preserve">CM.C4i.08.4</t>
  </si>
  <si>
    <t xml:space="preserve">Tabletop Exercise 1 (C4i and escalation) designed and delivered</t>
  </si>
  <si>
    <t xml:space="preserve">Design, facilitate and report the first C4i tabletop exercise, testing escalation and decision thresholds.</t>
  </si>
  <si>
    <t xml:space="preserve">Mirrors C4i-S06.2 (28-Feb-27). Also delivers CM.C4i.04.7. Coordinate with CM.CMT.10, CM.SEC.07 and CMT-S01.8 for shared scenarios.</t>
  </si>
  <si>
    <t xml:space="preserve">CM.C4i.08.4.1</t>
  </si>
  <si>
    <t xml:space="preserve">TTX scope, objectives and success criteria agreed</t>
  </si>
  <si>
    <t xml:space="preserve">What the exercise is testing and how pass or fail is judged.</t>
  </si>
  <si>
    <t xml:space="preserve">CM.C4i.08.4.2</t>
  </si>
  <si>
    <t xml:space="preserve">Scenario and inject schedule built</t>
  </si>
  <si>
    <t xml:space="preserve">Scenario narrative, injects and timings.</t>
  </si>
  <si>
    <t xml:space="preserve">CM.C4i.08.4.3</t>
  </si>
  <si>
    <t xml:space="preserve">TTX delivered and hot debrief captured</t>
  </si>
  <si>
    <t xml:space="preserve">Exercise run with facilitation and immediate debrief.</t>
  </si>
  <si>
    <t xml:space="preserve">CM.C4i.08.4.4</t>
  </si>
  <si>
    <t xml:space="preserve">TTX report and lessons issued</t>
  </si>
  <si>
    <t xml:space="preserve">Findings, actions and owners issued to IDR.</t>
  </si>
  <si>
    <t xml:space="preserve">Feeds C4i-S06.6 Lessons Identified &amp; Continuous Improvement Log Live.</t>
  </si>
  <si>
    <t xml:space="preserve">CM.C4i.08.5</t>
  </si>
  <si>
    <t xml:space="preserve">MOC training delivery supported</t>
  </si>
  <si>
    <t xml:space="preserve">Support delivery of the training programme to MOC and EOC staff.</t>
  </si>
  <si>
    <t xml:space="preserve">Mirrors C4i-S06.3 (01-Mar to 15-Apr-27). Links KM.111 (01-Feb-27) and KM.121 (01-Apr-27).</t>
  </si>
  <si>
    <t xml:space="preserve">CM.C4i.08.6</t>
  </si>
  <si>
    <t xml:space="preserve">MOC familiarisation, walk-through and drill programme delivered</t>
  </si>
  <si>
    <t xml:space="preserve">Seat-level familiarisation in the actual room before live play: system log-ons, radio checks, handover drills and mode-change drills.</t>
  </si>
  <si>
    <t xml:space="preserve"> Sits between classroom training and live play. Cheap, high value, and routinely missed because it is not a named milestone anywhere.</t>
  </si>
  <si>
    <t xml:space="preserve">CM.C4i.08.7</t>
  </si>
  <si>
    <t xml:space="preserve">Simulation exercise (MOC live play) designed and delivered</t>
  </si>
  <si>
    <t xml:space="preserve">Design and support the live-play simulation validating the MOC in near-operational conditions.</t>
  </si>
  <si>
    <t xml:space="preserve">Mirrors C4i-S06.5 (31-Mar-27). Sequence against KM.13 and KM.14 Technology Rehearsals.</t>
  </si>
  <si>
    <t xml:space="preserve">CM.C4i.09</t>
  </si>
  <si>
    <t xml:space="preserve">C4i Readiness Reviews &amp; Validation Exercises</t>
  </si>
  <si>
    <t xml:space="preserve">Assess readiness of C4i frameworks, operating models, systems, staffing and procedures through exercises, testing and operational reviews.</t>
  </si>
  <si>
    <t xml:space="preserve">CM.C4i.09.1</t>
  </si>
  <si>
    <t xml:space="preserve">C4i readiness criteria and assurance framework defined</t>
  </si>
  <si>
    <t xml:space="preserve">Define the readiness criteria, evidence requirements and gate structure for C4i sign-off.</t>
  </si>
  <si>
    <t xml:space="preserve">Recommend one readiness template across all SMEs rather than ten: CM.VMG.T04, CM.SEC.07, CM.CMT.09, CM.GTS.08, CM.WKF.09, CM.TMO.07, CM.LOG.09, CM.ACR.07, CM.CAW.07. Coordinate with the Readiness Programme (Katy).</t>
  </si>
  <si>
    <t xml:space="preserve">CM.C4i.09.2</t>
  </si>
  <si>
    <t xml:space="preserve">C4i readiness gate reviews completed (R1, R2, R3)</t>
  </si>
  <si>
    <t xml:space="preserve">Run the staged readiness gates against the agreed criteria, so readiness is evidenced progressively rather than assessed once at the end.</t>
  </si>
  <si>
    <t xml:space="preserve">NEW. Aligns C4i to the programme readiness gate structure. Prevents a single pass or fail review two weeks before activation.</t>
  </si>
  <si>
    <t xml:space="preserve">CM.C4i.09.3</t>
  </si>
  <si>
    <t xml:space="preserve">Lessons identified and continuous improvement log live</t>
  </si>
  <si>
    <t xml:space="preserve">Stand up and run the lessons and continuous improvement log across exercises and soft operations.</t>
  </si>
  <si>
    <t xml:space="preserve">Mirrors C4i-S06.6 (31-Mar-27). Reuse the MZE tracker structure. Feeds CM.C4i.02.4 SOP revisions.</t>
  </si>
  <si>
    <t xml:space="preserve">CM.C4i.09.4</t>
  </si>
  <si>
    <t xml:space="preserve">MOC soft operations supported</t>
  </si>
  <si>
    <t xml:space="preserve">Support the MOC through soft operations, observing and correcting process in live conditions.</t>
  </si>
  <si>
    <t xml:space="preserve">Mirrors C4i-S06.4 MOC Soft Operations Commence (15-Mar-27). Aligns to KM.8 Extended Operations Commence (15-Apr-27) and KM.112 (01-Mar-27).</t>
  </si>
  <si>
    <t xml:space="preserve">CM.C4i.09.5</t>
  </si>
  <si>
    <t xml:space="preserve">MOC operational readiness review completed and assurance report issued</t>
  </si>
  <si>
    <t xml:space="preserve">Run the formal MOC readiness review against the agreed criteria and issue the assurance report.</t>
  </si>
  <si>
    <t xml:space="preserve">Mirrors C4i-S06.7 (30-Apr-27). NOTE: KM MOC Readiness Testing Programme Complete sits at 01-Mar-27, two months before the dept subtask. See QA Flags.</t>
  </si>
  <si>
    <t xml:space="preserve">CM.C4i.09.6</t>
  </si>
  <si>
    <t xml:space="preserve">Full MOC activation supported</t>
  </si>
  <si>
    <t xml:space="preserve">Support full activation and the transition into live operations.</t>
  </si>
  <si>
    <t xml:space="preserve">Mirrors C4i-S06.8 (01-May-27) and KM MOC Stands Up (01-May-27). Also KM.9, KM.132 Site Lock Down (10-May-27) and KM.134 (15-May-27). CONTRACT BOUNDARY: this sits at or beyond the current engagement end. See QA Flags.</t>
  </si>
  <si>
    <t xml:space="preserve">CM.C4i.09.7</t>
  </si>
  <si>
    <t xml:space="preserve">MOC stand-down, debrief and legacy plan produced</t>
  </si>
  <si>
    <t xml:space="preserve">Produce the stand-down procedure, debrief method and legacy report structure, written and handed over inside the engagement window rather than executed after it.</t>
  </si>
  <si>
    <t xml:space="preserve">RESCOPED from V1, which scheduled delivery at Oct to Dec 2027, roughly six months after the current engagement end. The plan is produced now; execution needs either a contract extension or a named client-side owner. No MOC Stands Down date exists in the master plan.</t>
  </si>
  <si>
    <t xml:space="preserve">CM.C4i.10</t>
  </si>
  <si>
    <t xml:space="preserve">C4i Reporting, Documentation &amp; Knowledge Management (PROPOSED)</t>
  </si>
  <si>
    <t xml:space="preserve">Provide regular reporting to the Project Director, maintain documentation and version control across all C4i outputs, define MOC performance measures and reporting dashboards, and ensure knowledge transfer to Expo 2027 Belgrade teams and consortium partners.</t>
  </si>
  <si>
    <t xml:space="preserve">PROPOSED NEW TIER 2: Reporting, Documentation &amp; Knowledge Management as a core accountability, and it is the only one of the seven with no home in CM.C4i.01 to 09. If a new Tier 2 is not wanted: will nest 10.1 to 10.5 under CM.C4i.09.</t>
  </si>
  <si>
    <t xml:space="preserve">CM.C4i.10.1</t>
  </si>
  <si>
    <t xml:space="preserve">C4i status reporting to Project Director maintained (recurring)</t>
  </si>
  <si>
    <t xml:space="preserve">Weekly progress, risk, issue and dependency reporting into the Project Director and the Crowded Events weekly report.</t>
  </si>
  <si>
    <t xml:space="preserve">Recurring. Existing cadence: Friday Project Director update.</t>
  </si>
  <si>
    <t xml:space="preserve">CM.C4i.10.2</t>
  </si>
  <si>
    <t xml:space="preserve">C4i document register and version control maintained (recurring)</t>
  </si>
  <si>
    <t xml:space="preserve">Maintain the register of C4i outputs with version control, approval status and storage location, so the current version of every document is unambiguous.</t>
  </si>
  <si>
    <t xml:space="preserve">Recurring. Coordinate with the org-wide SharePoint hub (Alexander).</t>
  </si>
  <si>
    <t xml:space="preserve">CM.C4i.10.3</t>
  </si>
  <si>
    <t xml:space="preserve">MOC performance measures and reporting dashboard defined</t>
  </si>
  <si>
    <t xml:space="preserve">Define what good looks like for MOC operations and the measures and dashboard that evidence it during live running.</t>
  </si>
  <si>
    <t xml:space="preserve">NEW. Explicit Job Description accountability with no current milestone. Feeds the daily reporting cycle at CM.C4i.03.10.</t>
  </si>
  <si>
    <t xml:space="preserve">CM.C4i.10.4</t>
  </si>
  <si>
    <t xml:space="preserve">Knowledge transfer and capability handover to EX27 teams</t>
  </si>
  <si>
    <t xml:space="preserve">Structured handover of the C4i model, MOC operating model and supporting documentation to the Expo 2027 Belgrade teams and consortium partners.</t>
  </si>
  <si>
    <t xml:space="preserve">Explicit Job Description accountability. Should be planned, not left to the last week of the engagement.</t>
  </si>
  <si>
    <t xml:space="preserve">CM.C4i.10.5</t>
  </si>
  <si>
    <t xml:space="preserve">Intellectual Property and document handover process agreed and executed</t>
  </si>
  <si>
    <t xml:space="preserve">Agree the process, format and destination for handover of intellectual property and working documents, then execute against it.</t>
  </si>
  <si>
    <t xml:space="preserve">Currently an open blocker: no defined IP handover process exists. Needs a commercial as well as an operational answer.</t>
  </si>
  <si>
    <t xml:space="preserve">Non Operations</t>
  </si>
  <si>
    <t xml:space="preserve">Design &amp; Construction </t>
  </si>
  <si>
    <t xml:space="preserve">Site Handover Plan </t>
  </si>
  <si>
    <t xml:space="preserve">Developed a Site Handover Plan outlining the process, governance, roles and responsibilities, acceptance criteria, documentation requirements and transition activities for the transfer from construction to operations.</t>
  </si>
  <si>
    <t xml:space="preserve">David </t>
  </si>
  <si>
    <t xml:space="preserve">Event &amp; Venue Management</t>
  </si>
  <si>
    <t xml:space="preserve">KM.116</t>
  </si>
  <si>
    <t xml:space="preserve">Final Zone Operating Plan Version Approved</t>
  </si>
  <si>
    <t xml:space="preserve">Check is the department is correct?</t>
  </si>
  <si>
    <t xml:space="preserve">KM.126</t>
  </si>
  <si>
    <t xml:space="preserve">Venue Management On- Site Operations Commence</t>
  </si>
  <si>
    <t xml:space="preserve">KM.137</t>
  </si>
  <si>
    <t xml:space="preserve">All Venues Fitness Certificate Approved</t>
  </si>
  <si>
    <t xml:space="preserve">KM.138</t>
  </si>
  <si>
    <t xml:space="preserve">Final All International Participants Operating Plans Approved</t>
  </si>
  <si>
    <t xml:space="preserve">KM.139</t>
  </si>
  <si>
    <t xml:space="preserve">Final C4 Conops Approved</t>
  </si>
  <si>
    <t xml:space="preserve">KM.143</t>
  </si>
  <si>
    <t xml:space="preserve">All Operations Guides Published</t>
  </si>
  <si>
    <t xml:space="preserve">EXPO Village Ops</t>
  </si>
  <si>
    <t xml:space="preserve">KM.107</t>
  </si>
  <si>
    <t xml:space="preserve">EXPO Village Operator Awarded</t>
  </si>
  <si>
    <t xml:space="preserve">KM.115</t>
  </si>
  <si>
    <t xml:space="preserve">Expo Village Fully Operational</t>
  </si>
  <si>
    <t xml:space="preserve">KM.141</t>
  </si>
  <si>
    <t xml:space="preserve">Partial Expo Village Operations Commence</t>
  </si>
  <si>
    <t xml:space="preserve">Technical Certification Complete</t>
  </si>
  <si>
    <t xml:space="preserve">Expo Village Apartment Handover</t>
  </si>
  <si>
    <t xml:space="preserve">500 units expected to be handed over to EX27 </t>
  </si>
  <si>
    <t xml:space="preserve">Expo Village First Guests </t>
  </si>
  <si>
    <t xml:space="preserve">VOC Operational</t>
  </si>
  <si>
    <t xml:space="preserve">Expo Village Operational Centre Live</t>
  </si>
  <si>
    <t xml:space="preserve">Finance</t>
  </si>
  <si>
    <t xml:space="preserve">Anchor</t>
  </si>
  <si>
    <t xml:space="preserve">KM.2</t>
  </si>
  <si>
    <t xml:space="preserve">Event-Time Budget Approved</t>
  </si>
  <si>
    <t xml:space="preserve">FMT-CAW</t>
  </si>
  <si>
    <t xml:space="preserve">KM.97</t>
  </si>
  <si>
    <t xml:space="preserve">Operations Strategy Approved</t>
  </si>
  <si>
    <t xml:space="preserve">KM.101</t>
  </si>
  <si>
    <t xml:space="preserve">Operational Plan Approved</t>
  </si>
  <si>
    <t xml:space="preserve">KM.103</t>
  </si>
  <si>
    <t xml:space="preserve">Service Providers Contracted and Started Work</t>
  </si>
  <si>
    <t xml:space="preserve">KM.106</t>
  </si>
  <si>
    <t xml:space="preserve">FM Operations On Site Commence</t>
  </si>
  <si>
    <t xml:space="preserve">KM.120</t>
  </si>
  <si>
    <t xml:space="preserve">FM Operator Activities Commence</t>
  </si>
  <si>
    <t xml:space="preserve">KM.123</t>
  </si>
  <si>
    <t xml:space="preserve">Facilities Management &amp; Cleaning &amp; Waste - Event Testing Phase Complete</t>
  </si>
  <si>
    <t xml:space="preserve">KM.125</t>
  </si>
  <si>
    <t xml:space="preserve">Facility Management Operations on Site Commence Fully Operational</t>
  </si>
  <si>
    <t xml:space="preserve">Landscaping (Grass, Trees &amp; Shrubs) Installation Complete</t>
  </si>
  <si>
    <t xml:space="preserve">Soft landscaping works across the site finished and signed off.</t>
  </si>
  <si>
    <t xml:space="preserve">Technical Maintenance Plan Approved</t>
  </si>
  <si>
    <t xml:space="preserve">Covers electrical, mechanical and HVAC systems maintenance across all venues.</t>
  </si>
  <si>
    <t xml:space="preserve">FM Helpdesk Operational</t>
  </si>
  <si>
    <t xml:space="preserve">Centralised Facilities Management helpdesk stood up and taking requests.</t>
  </si>
  <si>
    <t xml:space="preserve">Waste &amp; Recycling Partner Contracts Signed</t>
  </si>
  <si>
    <t xml:space="preserve">Third-party waste, recycling and hazardous-waste processing partners contracted.</t>
  </si>
  <si>
    <t xml:space="preserve">Waste Segregation Plan Approved</t>
  </si>
  <si>
    <t xml:space="preserve">Site-wide recycling station design and segregation approach signed off.</t>
  </si>
  <si>
    <t xml:space="preserve">With Dept to update accordingly</t>
  </si>
  <si>
    <t xml:space="preserve">Spill &amp; Hazmat Emergency Response Plan Approved</t>
  </si>
  <si>
    <t xml:space="preserve">Protocols, kit positioning and responder training plan signed off.</t>
  </si>
  <si>
    <t xml:space="preserve">Health &amp; Safety Compliance Framework Signed Off</t>
  </si>
  <si>
    <t xml:space="preserve">COSHH assessments, PPE provisioning and safety audit cadence approved.</t>
  </si>
  <si>
    <t xml:space="preserve">Machinery Rental &amp; Rate Card Agreements in Place</t>
  </si>
  <si>
    <t xml:space="preserve">Rate card services and machinery rental agreements finalised.</t>
  </si>
  <si>
    <t xml:space="preserve">Site Handback Standards Agreed</t>
  </si>
  <si>
    <t xml:space="preserve">Cleanliness/condition standards for venue and landowner handback confirmed.</t>
  </si>
  <si>
    <t xml:space="preserve">Post-Event Deep Clean Plan Approved</t>
  </si>
  <si>
    <t xml:space="preserve">Deep clean crew scheduling and demobilisation coordination plan signed off.</t>
  </si>
  <si>
    <t xml:space="preserve">Cleaning &amp; Waste (CAW)</t>
  </si>
  <si>
    <t xml:space="preserve">CM.CAW.01</t>
  </si>
  <si>
    <t xml:space="preserve">Cleaning &amp; Waste Strategies &amp; Operational Plans</t>
  </si>
  <si>
    <t xml:space="preserve">Review cleaning, waste management, sustainability and service delivery strategies against event requirements and industry best practice.</t>
  </si>
  <si>
    <t xml:space="preserve">S21</t>
  </si>
  <si>
    <t xml:space="preserve">CM.CAW.01.1</t>
  </si>
  <si>
    <t xml:space="preserve">DOP V1</t>
  </si>
  <si>
    <t xml:space="preserve">Assessment of the information presented</t>
  </si>
  <si>
    <t xml:space="preserve">Ilkin - Soft oversight</t>
  </si>
  <si>
    <t xml:space="preserve">Comments added directly on presentation</t>
  </si>
  <si>
    <t xml:space="preserve">CM.CAW.02</t>
  </si>
  <si>
    <t xml:space="preserve">Waste Capacity &amp; Infrastructure Planning</t>
  </si>
  <si>
    <t xml:space="preserve">Validate waste forecasting, infrastructure requirements, collection strategies and servicing models across event phases and zones.</t>
  </si>
  <si>
    <t xml:space="preserve">CM.CAW.03</t>
  </si>
  <si>
    <t xml:space="preserve">Cleaning &amp; Waste Transition Plan Review (Planning to Live Ops)</t>
  </si>
  <si>
    <t xml:space="preserve">Confirm the department has a clear plan to transition into event-time operations</t>
  </si>
  <si>
    <t xml:space="preserve">CM.CAW.04</t>
  </si>
  <si>
    <t xml:space="preserve">Compliance &amp; Sustainability Requirements</t>
  </si>
  <si>
    <t xml:space="preserve">Assess environmental compliance, waste segregation, recycling processes, permits and sustainability objectives.</t>
  </si>
  <si>
    <t xml:space="preserve">CM.CAW.05</t>
  </si>
  <si>
    <t xml:space="preserve">Cleaning &amp; Waste Implementation &amp; Integration</t>
  </si>
  <si>
    <t xml:space="preserve">Support coordination between Cleaning &amp; Waste, FM, Security, Medical and Venue Operations to enable integrated delivery.</t>
  </si>
  <si>
    <t xml:space="preserve">CM.CAW.06</t>
  </si>
  <si>
    <t xml:space="preserve">Cleaning &amp; Waste–Logistics Integration</t>
  </si>
  <si>
    <t xml:space="preserve">Ensure waste vehicle movement and collection windows are aligned with site security and traffic management</t>
  </si>
  <si>
    <t xml:space="preserve">CM.CAW.07</t>
  </si>
  <si>
    <t xml:space="preserve">Cleaning &amp; Waste Readiness Reviews</t>
  </si>
  <si>
    <t xml:space="preserve">Assess operational readiness, validate workforce, resources, suppliers, procedures and contingency arrangements against agreed criteria.</t>
  </si>
  <si>
    <t xml:space="preserve">CM.CAW.08</t>
  </si>
  <si>
    <t xml:space="preserve">Operational Testing &amp; Scenario Planning</t>
  </si>
  <si>
    <t xml:space="preserve">Facilitate readiness workshops, review contingency arrangements and support testing of operational response processes.</t>
  </si>
  <si>
    <t xml:space="preserve">Facilities Management (FMT)</t>
  </si>
  <si>
    <t xml:space="preserve">CM.FMT.01</t>
  </si>
  <si>
    <t xml:space="preserve">FM Strategies &amp; Operational Plans</t>
  </si>
  <si>
    <t xml:space="preserve">Establish FM governance, operating model, reporting processes, SLAs, KPIs and operational interfaces</t>
  </si>
  <si>
    <t xml:space="preserve">CM.FMT.01.1</t>
  </si>
  <si>
    <t xml:space="preserve">CM.FMT.02</t>
  </si>
  <si>
    <t xml:space="preserve">FM Helpdesk &amp; Service Request Process Review</t>
  </si>
  <si>
    <t xml:space="preserve">Assess if the FM helpdesk model will scale to event-time request volumes</t>
  </si>
  <si>
    <t xml:space="preserve">CM.FMT.03</t>
  </si>
  <si>
    <t xml:space="preserve">FM Operating Model Review</t>
  </si>
  <si>
    <t xml:space="preserve">Assess the FM operating model (hard/soft services) is coherent and resourced</t>
  </si>
  <si>
    <t xml:space="preserve">CM.FMT.04</t>
  </si>
  <si>
    <t xml:space="preserve">FM Service Delivery Planning</t>
  </si>
  <si>
    <t xml:space="preserve">Review maintenance strategies, landscaping, irrigation, pest control, specialist services and workforce requirements</t>
  </si>
  <si>
    <t xml:space="preserve">CM.FMT.05</t>
  </si>
  <si>
    <t xml:space="preserve">FM Systems &amp; Operational Integration</t>
  </si>
  <si>
    <t xml:space="preserve">Review helpdesk, ticketing systems, asset management, communications and integration with event operations</t>
  </si>
  <si>
    <t xml:space="preserve">CM.FMT.06</t>
  </si>
  <si>
    <t xml:space="preserve">Machinery &amp; Rate Card Agreement Review</t>
  </si>
  <si>
    <t xml:space="preserve">Assess whether machinery rental and rate card agreements meet operational need</t>
  </si>
  <si>
    <t xml:space="preserve">CM.FMT.07</t>
  </si>
  <si>
    <t xml:space="preserve">FM KPI &amp; Reporting Framework Development</t>
  </si>
  <si>
    <t xml:space="preserve">Establish consistent event-time performance metrics for facilities management</t>
  </si>
  <si>
    <t xml:space="preserve">Guest Services (GTS) </t>
  </si>
  <si>
    <t xml:space="preserve">KM.98</t>
  </si>
  <si>
    <t xml:space="preserve">School Visits Operations Finalised</t>
  </si>
  <si>
    <t xml:space="preserve">Confirm GST Operating Plan: operations with Transport, Venue Management, Schools, Security, Crowd Management</t>
  </si>
  <si>
    <t xml:space="preserve">Lynn</t>
  </si>
  <si>
    <t xml:space="preserve">KM.109</t>
  </si>
  <si>
    <t xml:space="preserve">School Programme Concept of Operations development</t>
  </si>
  <si>
    <t xml:space="preserve">To be developed into an operating plan</t>
  </si>
  <si>
    <t xml:space="preserve">KM.133</t>
  </si>
  <si>
    <t xml:space="preserve">School Programme Management System scope defined</t>
  </si>
  <si>
    <t xml:space="preserve">Under development</t>
  </si>
  <si>
    <t xml:space="preserve">Visitor Complaint Procedure approved</t>
  </si>
  <si>
    <t xml:space="preserve">Process for handling and escalating visitor complaints agreed.</t>
  </si>
  <si>
    <t xml:space="preserve">Procedure in development - covers Contact Centre and Visitor Centre</t>
  </si>
  <si>
    <t xml:space="preserve">Contact Centre Operational </t>
  </si>
  <si>
    <t xml:space="preserve">System testing and training begins in August with GTS team and supplier.  Interface with chatbot scheduled for early 2027. All materials are being compiled and an operating plan developed</t>
  </si>
  <si>
    <t xml:space="preserve">Contact Centre Outsourced Supplier Confirmed </t>
  </si>
  <si>
    <t xml:space="preserve">Tender responses due 3/9/2027</t>
  </si>
  <si>
    <t xml:space="preserve">GTS Department Operating Plan finalised</t>
  </si>
  <si>
    <t xml:space="preserve">Confirmation of what services will be available to guests at each location. </t>
  </si>
  <si>
    <t xml:space="preserve">V1.8 starts in August</t>
  </si>
  <si>
    <t xml:space="preserve">Accessibility Equipment Procured</t>
  </si>
  <si>
    <t xml:space="preserve">Wheelchairs and baby carriers procured and ready for deployment.</t>
  </si>
  <si>
    <t xml:space="preserve">School Programme Management System Live</t>
  </si>
  <si>
    <t xml:space="preserve">Technology system supporting school programme bookings operational.</t>
  </si>
  <si>
    <t xml:space="preserve">First phase School specific launch in 1/09 and the second phase School launch to a wider schools in December</t>
  </si>
  <si>
    <t xml:space="preserve">GTS Technology &amp; App Support Confirmed</t>
  </si>
  <si>
    <t xml:space="preserve">Technology equipment and app support arrangements confirmed with IT.</t>
  </si>
  <si>
    <t xml:space="preserve">GTS Golf Buggy Fleet Operations confirmed</t>
  </si>
  <si>
    <t xml:space="preserve">Golf buggy fleet procured and operational for on-site guest support.</t>
  </si>
  <si>
    <t xml:space="preserve">Policy and procedure to be developed and discussed with key Departments</t>
  </si>
  <si>
    <t xml:space="preserve">Guest Services (GTS) - Services</t>
  </si>
  <si>
    <t xml:space="preserve">CM.GTS.01</t>
  </si>
  <si>
    <t xml:space="preserve">Guest Services Strategies &amp; Operational Plans</t>
  </si>
  <si>
    <t xml:space="preserve">Review GTS operating plans, visitor services strategies, school programme plans and operational procedures against event requirements.</t>
  </si>
  <si>
    <t xml:space="preserve">Production of a Contact Centre Operating Plan and Schools Programme Operating plan</t>
  </si>
  <si>
    <t xml:space="preserve">CM.GTS.01.1</t>
  </si>
  <si>
    <t xml:space="preserve">Revisions/updates in progress for v2</t>
  </si>
  <si>
    <t xml:space="preserve">CM.GTS.02</t>
  </si>
  <si>
    <t xml:space="preserve">Contact Centre Operating Plan &amp; Readiness - Phase 1 Launch</t>
  </si>
  <si>
    <t xml:space="preserve">Assess visitor contact centre strategy, supplier model, service levels, systems, knowledge management, escalation processes and reporting requirements.</t>
  </si>
  <si>
    <t xml:space="preserve">Materials all prepared, system testing starts in August.  Awaiting confirmation of Agency</t>
  </si>
  <si>
    <t xml:space="preserve">CM.GTS.03</t>
  </si>
  <si>
    <t xml:space="preserve">School Programme Operating Plan &amp; Readiness </t>
  </si>
  <si>
    <t xml:space="preserve">Review school visit operations, booking processes, group logistics, tour routes, safeguarding protocols and stakeholder coordination arrangements.</t>
  </si>
  <si>
    <t xml:space="preserve">First phase Programme launch Sept - tbc based on school interest</t>
  </si>
  <si>
    <t xml:space="preserve">CM.GTS.04</t>
  </si>
  <si>
    <t xml:space="preserve">Support with the establishment of the Guest Services Workforce &amp; Training Onboarding, Specific Training &amp; any Specialist Training</t>
  </si>
  <si>
    <t xml:space="preserve">Support development of workforce models, staffing plans, rostering, role profiles, training requirements and readiness processes for paid staff and volunteers.</t>
  </si>
  <si>
    <t xml:space="preserve">Discussion started with anticipated framework.  Need to review the LMS and hiring plan (no visibility from HR)</t>
  </si>
  <si>
    <t xml:space="preserve">CM.GTS.05</t>
  </si>
  <si>
    <t xml:space="preserve">Guest Services Systems &amp; Technology Integration (Chatbot, App, L&amp;F database) </t>
  </si>
  <si>
    <t xml:space="preserve">Support implementation and integration of contact centre systems, visitor applications, booking platforms, dashboards and operational technology solutions.</t>
  </si>
  <si>
    <t xml:space="preserve">CM.GTS-S05.1</t>
  </si>
  <si>
    <t xml:space="preserve">Specification of the system for schools to register for Expo school visits</t>
  </si>
  <si>
    <t xml:space="preserve">A centralised digital system is being developed that allows schools to register for organised EXPO 2027 Belgrade visits and select time slots, with automatic management of capacity, slots and arrival waves</t>
  </si>
  <si>
    <t xml:space="preserve">CM.GTS.06</t>
  </si>
  <si>
    <t xml:space="preserve">Visitor Journey &amp; Service Standards Confirmation</t>
  </si>
  <si>
    <t xml:space="preserve">Establish target service standards consistent with international visitor expectations</t>
  </si>
  <si>
    <t xml:space="preserve">Not started</t>
  </si>
  <si>
    <t xml:space="preserve">To check with Mira if service levels have been established</t>
  </si>
  <si>
    <t xml:space="preserve">CM.GTS.07</t>
  </si>
  <si>
    <t xml:space="preserve">Review Guest Services Facilities &amp; Operational Readiness</t>
  </si>
  <si>
    <t xml:space="preserve">Assess GST spaces, visitor centres, welfare facilities, FF&amp;E requirements, accessibility equipment and operational infrastructure readiness.</t>
  </si>
  <si>
    <t xml:space="preserve">CM.GTS.08</t>
  </si>
  <si>
    <t xml:space="preserve">Guest Services Readiness Reviews</t>
  </si>
  <si>
    <t xml:space="preserve">Assess readiness of Guest Services operations, workforce, systems, suppliers, spaces and procedures against agreed readiness criteria.</t>
  </si>
  <si>
    <t xml:space="preserve">Ongoing </t>
  </si>
  <si>
    <t xml:space="preserve">CM.GTS.09</t>
  </si>
  <si>
    <t xml:space="preserve">Guest Services Paid &amp; Volunteer staff headcount finalisation</t>
  </si>
  <si>
    <t xml:space="preserve">Dates to align with Kirsty</t>
  </si>
  <si>
    <t xml:space="preserve">Health &amp; Safety </t>
  </si>
  <si>
    <t xml:space="preserve">Site H&amp;S  Induction Plan </t>
  </si>
  <si>
    <t xml:space="preserve">Developed a comprehensive site induction framework outlining mandatory induction requirements, delivery approach, content, stakeholder responsibilities and onboarding process for all personnel accessing the site</t>
  </si>
  <si>
    <t xml:space="preserve">Currently with Medical, Security for review. HSE SMEs expected to be in Belgrade for a meeting to discuss W/C 27th July</t>
  </si>
  <si>
    <t xml:space="preserve">HR</t>
  </si>
  <si>
    <t xml:space="preserve">KM.3</t>
  </si>
  <si>
    <t xml:space="preserve">Event-Time Headcount Approved</t>
  </si>
  <si>
    <t xml:space="preserve">KM.17</t>
  </si>
  <si>
    <t xml:space="preserve">General Training Commence</t>
  </si>
  <si>
    <t xml:space="preserve">IT</t>
  </si>
  <si>
    <t xml:space="preserve">KM.12</t>
  </si>
  <si>
    <t xml:space="preserve">Technology Design Freeze</t>
  </si>
  <si>
    <t xml:space="preserve">KM.13</t>
  </si>
  <si>
    <t xml:space="preserve">Technology Rehearsal 1 - Complete</t>
  </si>
  <si>
    <t xml:space="preserve">KM.14</t>
  </si>
  <si>
    <t xml:space="preserve">Technology Rehearsal 2 - Complete</t>
  </si>
  <si>
    <t xml:space="preserve">KM.15</t>
  </si>
  <si>
    <t xml:space="preserve">Technology Business Requirements Freeze</t>
  </si>
  <si>
    <t xml:space="preserve">Logistics (LOG)</t>
  </si>
  <si>
    <t xml:space="preserve">KM.108</t>
  </si>
  <si>
    <t xml:space="preserve">Logistics Operator (Official Logistics Service Provider) Awarded</t>
  </si>
  <si>
    <t xml:space="preserve">Provides services on site for the Logistics operation such as Warehousing &amp; Manpower</t>
  </si>
  <si>
    <t xml:space="preserve">Vijay</t>
  </si>
  <si>
    <t xml:space="preserve">No suitable LSP with full scope of work covered via the tenders received so far.</t>
  </si>
  <si>
    <t xml:space="preserve">KM.152</t>
  </si>
  <si>
    <t xml:space="preserve">Logistics Operator (Partnership) Awarded</t>
  </si>
  <si>
    <t xml:space="preserve">Provides full Logistics Freight operations from country of origin to Expo Belgrade and reverse Logistics</t>
  </si>
  <si>
    <t xml:space="preserve">The responses from the tendor were not detail and no actually costing per country were received or were incomplete. Instead the responses gave a ceiling number. Meeting with Ops Director to go to Contracts Department and see if OC can agree a markup on the cost with the Vendor (Eg 20% markup on cost price per complete shipment as their profit)</t>
  </si>
  <si>
    <t xml:space="preserve">KM.153</t>
  </si>
  <si>
    <t xml:space="preserve">Logistics Zone Fully Operational (including VSA)</t>
  </si>
  <si>
    <t xml:space="preserve">KM.154</t>
  </si>
  <si>
    <t xml:space="preserve">Delivery Management System (DMS) Go Live</t>
  </si>
  <si>
    <t xml:space="preserve">System that is used for the management of vehicles to site.</t>
  </si>
  <si>
    <t xml:space="preserve">Provided by the Official Logistics Service Provider (LSP)</t>
  </si>
  <si>
    <t xml:space="preserve">KM.155</t>
  </si>
  <si>
    <t xml:space="preserve">On-Site Customs Office Fully Operational</t>
  </si>
  <si>
    <t xml:space="preserve">KM.156</t>
  </si>
  <si>
    <t xml:space="preserve">Last Mile Phase Commence</t>
  </si>
  <si>
    <t xml:space="preserve">Suppliers/Vendors who want to deliver to site must first deliver to the LSP warheouse and then the LSP will consolidate all loads and deliver to site on behalf of the suppliers/Vendors</t>
  </si>
  <si>
    <t xml:space="preserve">LSP to provide the Last Mile service which is not recommended. Could be removed from the Key Milestones</t>
  </si>
  <si>
    <t xml:space="preserve">KM.157</t>
  </si>
  <si>
    <t xml:space="preserve">Dissolution Plan</t>
  </si>
  <si>
    <t xml:space="preserve">Create a Dissolution plan for post event.</t>
  </si>
  <si>
    <t xml:space="preserve">KM.151</t>
  </si>
  <si>
    <t xml:space="preserve">On- Site Logistics Warehouse Fully Operational</t>
  </si>
  <si>
    <t xml:space="preserve">Warehouse re-construction may delay the handover of the warehouse. The request for re-construction was made by the Logistics team for operational purposes.</t>
  </si>
  <si>
    <t xml:space="preserve">Customs Clearance &amp; Freight Forwarding Services Live</t>
  </si>
  <si>
    <t xml:space="preserve">Customs clearance and freight forwarding services fully operational.</t>
  </si>
  <si>
    <t xml:space="preserve">Logistics Support Services Fully Operational</t>
  </si>
  <si>
    <t xml:space="preserve">Full suite of on-site logistics support services live.</t>
  </si>
  <si>
    <t xml:space="preserve">CM.LOG.01</t>
  </si>
  <si>
    <t xml:space="preserve">Logistics Strategies &amp; Operational Plans</t>
  </si>
  <si>
    <t xml:space="preserve">Review logistics strategies, operating plans, delivery models, dependencies and operational procedures against event requirements.</t>
  </si>
  <si>
    <t xml:space="preserve">CM.LOG.01.1</t>
  </si>
  <si>
    <t xml:space="preserve">CM.LOG.01.2</t>
  </si>
  <si>
    <t xml:space="preserve">Logistics Revenue Generation Strategy</t>
  </si>
  <si>
    <t xml:space="preserve">Requested by Ops Director</t>
  </si>
  <si>
    <t xml:space="preserve">CM.LOG.01.3</t>
  </si>
  <si>
    <t xml:space="preserve">Material Transfer Area Strategy</t>
  </si>
  <si>
    <t xml:space="preserve">Linked with Security</t>
  </si>
  <si>
    <t xml:space="preserve">CM.LOG.01.4</t>
  </si>
  <si>
    <t xml:space="preserve">Vendor Certificate Programme</t>
  </si>
  <si>
    <t xml:space="preserve">CM.LOG.01.5</t>
  </si>
  <si>
    <t xml:space="preserve">Water Distribution Strategy</t>
  </si>
  <si>
    <t xml:space="preserve">CM.LOG.01.6</t>
  </si>
  <si>
    <t xml:space="preserve">Fast Track Procurement Process for Event Time</t>
  </si>
  <si>
    <t xml:space="preserve">Requested by Ops Director &amp; Procurement</t>
  </si>
  <si>
    <t xml:space="preserve">CM.LOG.01.7</t>
  </si>
  <si>
    <t xml:space="preserve">Site Hands Strategy</t>
  </si>
  <si>
    <t xml:space="preserve">CM.LOG.01.8</t>
  </si>
  <si>
    <t xml:space="preserve">Dissolution Strategy</t>
  </si>
  <si>
    <t xml:space="preserve">CM.LOG.02</t>
  </si>
  <si>
    <t xml:space="preserve">Logistics Operator &amp; Supply Chain Planning</t>
  </si>
  <si>
    <t xml:space="preserve">Assess logistics operator readiness, warehousing model, manpower requirements, freight operations, supplier interfaces and service delivery arrangements.</t>
  </si>
  <si>
    <t xml:space="preserve">CM.LOG.03</t>
  </si>
  <si>
    <t xml:space="preserve">Customs &amp; Freight Management Processes</t>
  </si>
  <si>
    <t xml:space="preserve">Review customs clearance processes, freight forwarding arrangements, logistics guides, compliance requirements and regulatory procedures.</t>
  </si>
  <si>
    <t xml:space="preserve">CM.LOG.04</t>
  </si>
  <si>
    <t xml:space="preserve">Delivery Management System Frameworks</t>
  </si>
  <si>
    <t xml:space="preserve">Support development of DMS governance, operating procedures, user requirements, booking processes, reporting structures and escalation workflows.</t>
  </si>
  <si>
    <t xml:space="preserve">CM.LOG.05</t>
  </si>
  <si>
    <t xml:space="preserve">Logistics Zone &amp; Warehouse Readiness</t>
  </si>
  <si>
    <t xml:space="preserve">Assess logistics zone setup, warehousing operations, Vehicle Staging Area (VSA), storage capacity and operational readiness.</t>
  </si>
  <si>
    <t xml:space="preserve">CM.LOG.06</t>
  </si>
  <si>
    <t xml:space="preserve">Vendor Supply Access Operating Model Review</t>
  </si>
  <si>
    <t xml:space="preserve">Assure the Vendor Supply Access operating model addresses vendor/supplier delivery needs</t>
  </si>
  <si>
    <t xml:space="preserve">CM.LOG.07</t>
  </si>
  <si>
    <t xml:space="preserve">Support Logistics Systems Implementation &amp; Integration</t>
  </si>
  <si>
    <t xml:space="preserve">Support DMS development, testing, user training, system integration and operational deployment.</t>
  </si>
  <si>
    <t xml:space="preserve">CM.LOG.08</t>
  </si>
  <si>
    <t xml:space="preserve">Last Mile Delivery Operations</t>
  </si>
  <si>
    <t xml:space="preserve">Review supplier delivery processes, consolidation models, delivery routes, access requirements and last-mile operational strategies.</t>
  </si>
  <si>
    <t xml:space="preserve">CM.LOG.09</t>
  </si>
  <si>
    <t xml:space="preserve">Conduct Logistics Readiness Reviews</t>
  </si>
  <si>
    <t xml:space="preserve">Assess readiness of logistics operations, suppliers, systems, facilities, workforce and procedures against agreed readiness criteria</t>
  </si>
  <si>
    <t xml:space="preserve">CM.LOG.10</t>
  </si>
  <si>
    <t xml:space="preserve">FFE/Commodities</t>
  </si>
  <si>
    <t xml:space="preserve">support with templates, collection of data, review of quantities </t>
  </si>
  <si>
    <t xml:space="preserve">CM.LOG.10.1</t>
  </si>
  <si>
    <t xml:space="preserve">Stationery and Consumables Scope and Procurement Process</t>
  </si>
  <si>
    <t xml:space="preserve">CM.LOG.10.2</t>
  </si>
  <si>
    <t xml:space="preserve">Contingency FF&amp;E Strategy</t>
  </si>
  <si>
    <t xml:space="preserve">KM.1</t>
  </si>
  <si>
    <t xml:space="preserve">CONOPS Approved</t>
  </si>
  <si>
    <t xml:space="preserve">KM.8</t>
  </si>
  <si>
    <t xml:space="preserve">Extended Operations Commence</t>
  </si>
  <si>
    <t xml:space="preserve">KM.9</t>
  </si>
  <si>
    <t xml:space="preserve">Full Operations Commence</t>
  </si>
  <si>
    <t xml:space="preserve">KM.18</t>
  </si>
  <si>
    <t xml:space="preserve">Final Site Operating Plan Published</t>
  </si>
  <si>
    <t xml:space="preserve">Program &amp; Content</t>
  </si>
  <si>
    <t xml:space="preserve">KM.11</t>
  </si>
  <si>
    <t xml:space="preserve">Closing Ceremony Full Dress Rehearsal Complete</t>
  </si>
  <si>
    <t xml:space="preserve">Security and Crowd Management (SEC &amp; CMT)</t>
  </si>
  <si>
    <t xml:space="preserve">KM.10</t>
  </si>
  <si>
    <t xml:space="preserve">Security Sweep Complete</t>
  </si>
  <si>
    <t xml:space="preserve">Matt and Steve</t>
  </si>
  <si>
    <t xml:space="preserve">KM.111</t>
  </si>
  <si>
    <t xml:space="preserve">Mandatory Security Staff Training Complete</t>
  </si>
  <si>
    <t xml:space="preserve">KM.117</t>
  </si>
  <si>
    <t xml:space="preserve">Technical Security Systems Integrated</t>
  </si>
  <si>
    <t xml:space="preserve">KM.132</t>
  </si>
  <si>
    <t xml:space="preserve">Site Lock Down</t>
  </si>
  <si>
    <t xml:space="preserve">KM.134</t>
  </si>
  <si>
    <t xml:space="preserve">Security Operations Commence On-Site</t>
  </si>
  <si>
    <t xml:space="preserve">KM.135</t>
  </si>
  <si>
    <t xml:space="preserve">Security Bump Out</t>
  </si>
  <si>
    <t xml:space="preserve">KM.142</t>
  </si>
  <si>
    <t xml:space="preserve">Security Concept &amp; Risk Framework Approved</t>
  </si>
  <si>
    <t xml:space="preserve">KM.145</t>
  </si>
  <si>
    <t xml:space="preserve">Allocation Of Security Roles Complete</t>
  </si>
  <si>
    <t xml:space="preserve">KM.146</t>
  </si>
  <si>
    <t xml:space="preserve">Site Security Takeover Complete</t>
  </si>
  <si>
    <t xml:space="preserve">KM.147</t>
  </si>
  <si>
    <t xml:space="preserve">MOC Security Operating Model Approved</t>
  </si>
  <si>
    <t xml:space="preserve">Currently it reads as the security of MOC (the access protocol and control, space protection, should be changed to MOC Operating Model) - TT</t>
  </si>
  <si>
    <t xml:space="preserve">KM.148</t>
  </si>
  <si>
    <t xml:space="preserve">Security Plans Signed Off &amp; Published</t>
  </si>
  <si>
    <t xml:space="preserve">VIP/VVIP Security &amp; Protection Plan Approved</t>
  </si>
  <si>
    <t xml:space="preserve">VIP delegation security requirements, evacuation and personal protection plans agreed.</t>
  </si>
  <si>
    <t xml:space="preserve">Crowd Management Plan (CMP) Approved</t>
  </si>
  <si>
    <t xml:space="preserve">Master Crowd Management Plan signed off.</t>
  </si>
  <si>
    <t xml:space="preserve">Site Capacities &amp; Crowd Density Thresholds Confirmed</t>
  </si>
  <si>
    <t xml:space="preserve">Expo site capacity limits and crowd density thresholds agreed.</t>
  </si>
  <si>
    <t xml:space="preserve">Queue Management Strategy Agreed</t>
  </si>
  <si>
    <t xml:space="preserve">Principles and strategies for queue management across venues agreed.</t>
  </si>
  <si>
    <t xml:space="preserve">Last Mile Crowd Management Plan Approved</t>
  </si>
  <si>
    <t xml:space="preserve">Crowd flow plan for last-mile arrival/departure points signed off.</t>
  </si>
  <si>
    <t xml:space="preserve">Site Evacuation Plan Signed Off</t>
  </si>
  <si>
    <t xml:space="preserve">Site-wide evacuation plan, assembly points and IP evacuation planning agreed.</t>
  </si>
  <si>
    <t xml:space="preserve">Security Manpower Contractor Onboarded &amp; Equipped</t>
  </si>
  <si>
    <t xml:space="preserve">Contracted security personnel vetted, inducted and equipped.</t>
  </si>
  <si>
    <t xml:space="preserve">Crowd Management (CMT)</t>
  </si>
  <si>
    <t xml:space="preserve">CM.CMT.01.1</t>
  </si>
  <si>
    <t xml:space="preserve">Matt</t>
  </si>
  <si>
    <t xml:space="preserve">CM.CMT.01.2</t>
  </si>
  <si>
    <t xml:space="preserve">DOP V2</t>
  </si>
  <si>
    <t xml:space="preserve">?</t>
  </si>
  <si>
    <t xml:space="preserve">CM.CMT.01.3</t>
  </si>
  <si>
    <t xml:space="preserve">DOP V3</t>
  </si>
  <si>
    <t xml:space="preserve">CM.CMT.01.4</t>
  </si>
  <si>
    <t xml:space="preserve">Crowd Management Plan V2</t>
  </si>
  <si>
    <t xml:space="preserve">Provide assistance on SEC team completing Crowd Management Plan V2  - CMT Dot Planning assessement, post prioritisation analysis</t>
  </si>
  <si>
    <t xml:space="preserve">SME to assist SEC to create all CMP contents</t>
  </si>
  <si>
    <t xml:space="preserve">CM.CMT.01.5</t>
  </si>
  <si>
    <t xml:space="preserve">Crowd Management Plan V3</t>
  </si>
  <si>
    <t xml:space="preserve">Provide assistance on SEC team completing Crowd Management Plan V3</t>
  </si>
  <si>
    <t xml:space="preserve">SME to assist SEC to crerate all CMP contents</t>
  </si>
  <si>
    <t xml:space="preserve">CM.CMT.02</t>
  </si>
  <si>
    <t xml:space="preserve">Site Capacity &amp; Density Modelling Validation</t>
  </si>
  <si>
    <t xml:space="preserve">Validate deparmental modelling for maximum safe occupancy levels and pedestrian flow rates across the Expo site.  In addition to overall site capacity assessment, this validation will encompass all event stages (Main stage, Global Stage, Auditorium and National Day)</t>
  </si>
  <si>
    <t xml:space="preserve">Review methodology and data inputs, validate against best-practice standards - this section - to also include Opening &amp; Closing Ceremonies</t>
  </si>
  <si>
    <t xml:space="preserve">CM.CMT.03</t>
  </si>
  <si>
    <t xml:space="preserve">Evacuation &amp; Emergency Response Plan Review</t>
  </si>
  <si>
    <t xml:space="preserve">Provide assurance that evacuation planning is comprehensive and has been tested - this can only begin once we have access to site.</t>
  </si>
  <si>
    <t xml:space="preserve">Review plan, facilitate tabletop exercise, capture findings</t>
  </si>
  <si>
    <t xml:space="preserve">CM.CMT.04</t>
  </si>
  <si>
    <t xml:space="preserve">Crowd Flow &amp; Behaviour Modelling</t>
  </si>
  <si>
    <t xml:space="preserve">Provide assurance on pedestrian flow modelling, crowd science principles, behavioural analysis and decision support tools</t>
  </si>
  <si>
    <t xml:space="preserve">Due to begin crowd modelling analysis in Oct - also includes Venue Hot Spot analysis linked to crowd management risk assessment including popularity scales </t>
  </si>
  <si>
    <t xml:space="preserve">CM.CMT.05</t>
  </si>
  <si>
    <t xml:space="preserve">Queue Management Strategy Development</t>
  </si>
  <si>
    <t xml:space="preserve">Review and advise on site queue management principles, commercial activation requirements, stakeholder interfaces, public realm strategies and queue risk assessments.  </t>
  </si>
  <si>
    <t xml:space="preserve">Linked to IP &amp; Expo main Pavilion Risk Management analysis.  Spreadsheet set up to review all design reviews to validate RAG analysis of these spaces.  Queue management linked to this process and validation of internal and external queues.</t>
  </si>
  <si>
    <t xml:space="preserve">CM.CMT.07</t>
  </si>
  <si>
    <t xml:space="preserve">Last Mile &amp; Arrival/Departure Planning</t>
  </si>
  <si>
    <t xml:space="preserve">Review last mile services, egress strategies, arrival and departure profiles, and integration with Transport and Venue Operations</t>
  </si>
  <si>
    <t xml:space="preserve">This will be incorporated within the CMP</t>
  </si>
  <si>
    <t xml:space="preserve">CM.CMT.08</t>
  </si>
  <si>
    <t xml:space="preserve">Crowd Management Systems &amp; Technology Solutions</t>
  </si>
  <si>
    <t xml:space="preserve">Provide assurance on crowd management system requirements, technology implementation, reporting tools and operational suitability</t>
  </si>
  <si>
    <t xml:space="preserve">This will include advice on items items such as the IP QMS.  Also assisting BLG IT department on setting up IT capability and systems to support and initiate site capacity and occupancy systems to be in place and all fed back tothe MOC reuslting in accurate venue counts</t>
  </si>
  <si>
    <t xml:space="preserve">CM.CMT.09</t>
  </si>
  <si>
    <t xml:space="preserve">Facilitate Cross-Functional Crowd Management Integration</t>
  </si>
  <si>
    <t xml:space="preserve">Coordinate alignment between Security, Transport, Ticketing,  Medical, Venue Operations, Emergency Planning and key Functional Areas</t>
  </si>
  <si>
    <t xml:space="preserve">On-going support and advice given to these departments - some of these departments will be incorporated in the CMP Versions 1,2 &amp; 3</t>
  </si>
  <si>
    <t xml:space="preserve">CM.CMT.10</t>
  </si>
  <si>
    <t xml:space="preserve">Crowd Management Operational Readiness</t>
  </si>
  <si>
    <t xml:space="preserve">Assess readiness against agreed criteria, validate plans, staffing, procedures, capacities and contingency arrangements</t>
  </si>
  <si>
    <t xml:space="preserve">This validation and review will begin once regular access to site is confirmed</t>
  </si>
  <si>
    <t xml:space="preserve">CM.CMT.10.1</t>
  </si>
  <si>
    <t xml:space="preserve">Crowd Management Exercises &amp; Scenario Testing</t>
  </si>
  <si>
    <t xml:space="preserve">Facilitate tabletop exercises, operational simulations, evacuation reviews and lessons learned activities</t>
  </si>
  <si>
    <t xml:space="preserve">It is anticipated that this assistance will begin from Jan onwards</t>
  </si>
  <si>
    <t xml:space="preserve">Security (SEC)</t>
  </si>
  <si>
    <t xml:space="preserve">CM.SEC.01</t>
  </si>
  <si>
    <t xml:space="preserve">Security Strategies &amp; Operational Plans</t>
  </si>
  <si>
    <t xml:space="preserve">Review Security Concept of Operations, risk framework, operational plans, security procedures and readiness requirements against event objectives and best practice.</t>
  </si>
  <si>
    <t xml:space="preserve">On -going review and analysis of SEC plans and procedures</t>
  </si>
  <si>
    <t xml:space="preserve">CM.SEC.01.2</t>
  </si>
  <si>
    <t xml:space="preserve"> Security Workforce and Dot Planning </t>
  </si>
  <si>
    <t xml:space="preserve">Review and analyse all SEC Workforce plans and principles across all event time positions (including Last Mile and village operations).</t>
  </si>
  <si>
    <t xml:space="preserve">on going analysis - include all FOH/BOH positions - Also to include analysis of the x5 SEC agenies used - to consider all training, deployment, shift patterns etc</t>
  </si>
  <si>
    <t xml:space="preserve">CM.SEC.02.1</t>
  </si>
  <si>
    <t xml:space="preserve">CM.SEC.02.2</t>
  </si>
  <si>
    <t xml:space="preserve">CM.SEC.03</t>
  </si>
  <si>
    <t xml:space="preserve">Site Emergency Evacuation/Invacuation/Lockdown plan</t>
  </si>
  <si>
    <t xml:space="preserve">Establish Site Emergency Evacuation/Invacuation/Lockdown plan, to include awareness briefing/training to all affected stakeholders and  workforce depts. </t>
  </si>
  <si>
    <t xml:space="preserve">Steve</t>
  </si>
  <si>
    <t xml:space="preserve">Draft will be ready for circulation 7/8/26</t>
  </si>
  <si>
    <t xml:space="preserve">CM.SEC04</t>
  </si>
  <si>
    <t xml:space="preserve">Review Security Systems &amp; Technical Readiness</t>
  </si>
  <si>
    <t xml:space="preserve">Assess integration of technical security systems, communications infrastructure, screening equipment, prohibited items processes and operational technology requirements.</t>
  </si>
  <si>
    <t xml:space="preserve">On-going support and analysis - link with S21 and BLG IT teams</t>
  </si>
  <si>
    <t xml:space="preserve">CM.SEC.05</t>
  </si>
  <si>
    <t xml:space="preserve">Joint Agency Governance Framework Design</t>
  </si>
  <si>
    <t xml:space="preserve">Establish clear governance for integrating police, military and emergency services into the command chain</t>
  </si>
  <si>
    <t xml:space="preserve">Facilitate workshops with agencies, draft governance model, validate RACI</t>
  </si>
  <si>
    <t xml:space="preserve">CM.SEC.06</t>
  </si>
  <si>
    <t xml:space="preserve">VIP/VVIP Security Planning Assurance</t>
  </si>
  <si>
    <t xml:space="preserve">Assess VIP/VVIP security requirements, protective security measures, evacuation planning, airspace management and specialist security arrangements.</t>
  </si>
  <si>
    <t xml:space="preserve">Review plans, liaise with protocol and security leads, identify gaps</t>
  </si>
  <si>
    <t xml:space="preserve">CM.SEC.07</t>
  </si>
  <si>
    <t xml:space="preserve">Conduct Security Readiness Reviews &amp; Exercises</t>
  </si>
  <si>
    <t xml:space="preserve">Assess security readiness, validate plans, participate in exercises, review security sweeps, lockdown procedures, prohibited items lists and other operational activation requirements.</t>
  </si>
  <si>
    <t xml:space="preserve">On-going support and analysis</t>
  </si>
  <si>
    <t xml:space="preserve">CM.SEC.08</t>
  </si>
  <si>
    <t xml:space="preserve">Security ConOps Review &amp; Gap Analysis</t>
  </si>
  <si>
    <t xml:space="preserve">Validate the security Concept of Operations against international best practice and event scale</t>
  </si>
  <si>
    <t xml:space="preserve">Review, benchmark against comparable Games/Expos, identify gaps. Gap Analysis &amp; Recommendations Paper</t>
  </si>
  <si>
    <t xml:space="preserve">CM.SEC.09</t>
  </si>
  <si>
    <t xml:space="preserve">Security Operating Procedures Review</t>
  </si>
  <si>
    <t xml:space="preserve">Confirm SOPs are complete, consistent and aligned to the security ConOps</t>
  </si>
  <si>
    <t xml:space="preserve">Review SOP library against ConOps requirements, recommend gaps to close
SOP Gap Analysis</t>
  </si>
  <si>
    <t xml:space="preserve">CM.SEC.10</t>
  </si>
  <si>
    <t xml:space="preserve">MOC Operations</t>
  </si>
  <si>
    <t xml:space="preserve">Review and establish overall SEC involvement in MOC Operations including all technical and operational requirements</t>
  </si>
  <si>
    <t xml:space="preserve">Ensure all key MOC operations are instigated - SEC team to produce separate MOC Operations Plan to include SEC resources, key timings and operations details - link with C4i </t>
  </si>
  <si>
    <t xml:space="preserve">CM.SEC.11</t>
  </si>
  <si>
    <t xml:space="preserve">Venue Security Sweep Operation</t>
  </si>
  <si>
    <t xml:space="preserve">Establish framework and development of venue sweep and lockdown in conjunction with all key stakeholders - to include pre and post event time activities and processes</t>
  </si>
  <si>
    <t xml:space="preserve">All SEC related - to be communicated and porperly planned accordingly</t>
  </si>
  <si>
    <t xml:space="preserve">CM.SEC.12</t>
  </si>
  <si>
    <t xml:space="preserve">VSA Screening Operations</t>
  </si>
  <si>
    <t xml:space="preserve">Establish a framework to cover all VSA &amp; main operations and activities- to include equipment needed, operations, staffing , layout, systems etc</t>
  </si>
  <si>
    <t xml:space="preserve">To include Material Screening Facility (MSF) and Ops, Vendor Certification Programme? - also to touch upon "3 keys to the gate" etc - full review with LOG required too</t>
  </si>
  <si>
    <t xml:space="preserve">CM.SEC.13</t>
  </si>
  <si>
    <t xml:space="preserve">PSA Operations</t>
  </si>
  <si>
    <t xml:space="preserve">CM.SEC.13.1</t>
  </si>
  <si>
    <t xml:space="preserve">Prohibited Items &amp; Restricted Actions V1</t>
  </si>
  <si>
    <t xml:space="preserve">Establish all agreed Prohibited Items and restrictions / Restricted items and actions.  Also tools of the trade list - V1 of this to be completed by 4th Aug</t>
  </si>
  <si>
    <t xml:space="preserve">V1 list discussed and initially agreed with S21 &amp; SEC ahead of senior leadership and external agency approval - V2 of this doc to be sign off estimated at end of October</t>
  </si>
  <si>
    <t xml:space="preserve">CM.SEC.13.2</t>
  </si>
  <si>
    <t xml:space="preserve">Prohibited Items &amp; Restricted Actions V2</t>
  </si>
  <si>
    <t xml:space="preserve">V2 of the above description - to be completed and signed off by 31st Oct</t>
  </si>
  <si>
    <t xml:space="preserve">TBC</t>
  </si>
  <si>
    <t xml:space="preserve">KM.16</t>
  </si>
  <si>
    <t xml:space="preserve">Final Event-Time Operating Structure Published</t>
  </si>
  <si>
    <t xml:space="preserve">Transport (TMO)</t>
  </si>
  <si>
    <t xml:space="preserve">KM.102</t>
  </si>
  <si>
    <t xml:space="preserve">Expo Fleet Pre-Event Operations Commence</t>
  </si>
  <si>
    <t xml:space="preserve">KM.118</t>
  </si>
  <si>
    <t xml:space="preserve">Railway Transportation Operations Commence</t>
  </si>
  <si>
    <t xml:space="preserve">KM.119</t>
  </si>
  <si>
    <t xml:space="preserve">Expo Fleet Event Operations Commence</t>
  </si>
  <si>
    <t xml:space="preserve">KM.124</t>
  </si>
  <si>
    <t xml:space="preserve">EXPO Site- Public Transport Fully Operational</t>
  </si>
  <si>
    <t xml:space="preserve">KM.127</t>
  </si>
  <si>
    <t xml:space="preserve">Transport Coordination Centre Fully Operational</t>
  </si>
  <si>
    <t xml:space="preserve">KM.128</t>
  </si>
  <si>
    <t xml:space="preserve">Parking Areas B, C, P Complete</t>
  </si>
  <si>
    <t xml:space="preserve">KM.129</t>
  </si>
  <si>
    <t xml:space="preserve">Micromobility Operations Commence</t>
  </si>
  <si>
    <t xml:space="preserve">KM.130</t>
  </si>
  <si>
    <t xml:space="preserve">School Bus Transport Operations Commence</t>
  </si>
  <si>
    <t xml:space="preserve">KM.131</t>
  </si>
  <si>
    <t xml:space="preserve">Phase III Public Bus Transport Plan Complete</t>
  </si>
  <si>
    <t xml:space="preserve">Parking Management Plan Approved</t>
  </si>
  <si>
    <t xml:space="preserve">Sitewide parking management plan signed off.</t>
  </si>
  <si>
    <t xml:space="preserve">CM.TMO.01</t>
  </si>
  <si>
    <t xml:space="preserve"> Transport Strategies &amp; Operational Plans</t>
  </si>
  <si>
    <t xml:space="preserve">Review integrated transport plans, demand modelling, mobility concepts, operational procedures and interfaces with Venue, Security and wider operations.</t>
  </si>
  <si>
    <t xml:space="preserve">CM.TMO.01.1</t>
  </si>
  <si>
    <t xml:space="preserve">CM.TMO.02</t>
  </si>
  <si>
    <t xml:space="preserve">Transport Capacity, Traffic &amp; Access Planning</t>
  </si>
  <si>
    <t xml:space="preserve">Validate passenger demand, transport capacity, fleet requirements, parking strategies, traffic flows, access arrangements and pedestrian interfaces.</t>
  </si>
  <si>
    <t xml:space="preserve">CM.TMO.03</t>
  </si>
  <si>
    <t xml:space="preserve">Multi-Modal Transport Integration</t>
  </si>
  <si>
    <t xml:space="preserve">Assess integration across rail, bus, taxi, private vehicles, waterway services, shuttle operations and last-mile connectivity.</t>
  </si>
  <si>
    <t xml:space="preserve">CM.TMO.04</t>
  </si>
  <si>
    <t xml:space="preserve">Fleet &amp; Mobility Operations Planning</t>
  </si>
  <si>
    <t xml:space="preserve">Assess fleet requirements, depot operations, vehicle allocation, maintenance strategies and micromobility solutions.</t>
  </si>
  <si>
    <t xml:space="preserve">CM.TMO.05</t>
  </si>
  <si>
    <t xml:space="preserve">Transport Systems Implementation</t>
  </si>
  <si>
    <t xml:space="preserve">Support transport technology configuration, testing, integration, user training and operational deployment </t>
  </si>
  <si>
    <t xml:space="preserve">CM.TMO.06</t>
  </si>
  <si>
    <t xml:space="preserve">Micromobility &amp; Last-Mile Strategy Review</t>
  </si>
  <si>
    <t xml:space="preserve">Assess if the micromobility and last-mile transport strategy is coherent and safe</t>
  </si>
  <si>
    <t xml:space="preserve">CM.TMO.07</t>
  </si>
  <si>
    <t xml:space="preserve">Conduct Transport Readiness Reviews &amp; Exercises</t>
  </si>
  <si>
    <t xml:space="preserve">Assess operational readiness, review command and control arrangements, participate in exercises and validate contingency plans.</t>
  </si>
  <si>
    <t xml:space="preserve">Venue Management (VMG)</t>
  </si>
  <si>
    <t xml:space="preserve">KM.112</t>
  </si>
  <si>
    <t xml:space="preserve">All Expo Owned Venues Operational Readiness Complete</t>
  </si>
  <si>
    <t xml:space="preserve">Ilkin</t>
  </si>
  <si>
    <t xml:space="preserve">KM.113</t>
  </si>
  <si>
    <t xml:space="preserve">All Venues Operational Guidelines Published</t>
  </si>
  <si>
    <t xml:space="preserve">KM.114</t>
  </si>
  <si>
    <t xml:space="preserve">Integrated And Functional Management Of Event Spaces On The Expo Site Activated</t>
  </si>
  <si>
    <t xml:space="preserve">KM.136</t>
  </si>
  <si>
    <t xml:space="preserve">VMG Work Structure Approved And On Site</t>
  </si>
  <si>
    <t xml:space="preserve">KM.149</t>
  </si>
  <si>
    <t xml:space="preserve">All Operating Plans Published</t>
  </si>
  <si>
    <t xml:space="preserve">VMG-S03.2</t>
  </si>
  <si>
    <t xml:space="preserve">Incident Location Identification</t>
  </si>
  <si>
    <t xml:space="preserve">All the buildings, venues and spaces within the Expo Site (except IP) will have specific code to link incident to the space</t>
  </si>
  <si>
    <t xml:space="preserve">publuc realm is currently completely missing and vendor can't guarantee functionality of choosing location of the incident based on GPS.</t>
  </si>
  <si>
    <t xml:space="preserve">Expo Operations Centre (EOC) Delivered</t>
  </si>
  <si>
    <t xml:space="preserve">Expo Operations Centre space and systems delivered.</t>
  </si>
  <si>
    <t xml:space="preserve">Incident Management Platform Live</t>
  </si>
  <si>
    <t xml:space="preserve">IM platform live with full location-tagging functionality.</t>
  </si>
  <si>
    <t xml:space="preserve">Sound, Vision &amp; Lighting Plan Approved</t>
  </si>
  <si>
    <t xml:space="preserve">Voice alarm, PA scripts and lighting integration plan signed off.</t>
  </si>
  <si>
    <t xml:space="preserve">Daily Command &amp; Control Rhythm Established</t>
  </si>
  <si>
    <t xml:space="preserve">Daily run sheet and pre-event checklist processes in place.</t>
  </si>
  <si>
    <t xml:space="preserve">Venuisation &amp; Space Handover Complete</t>
  </si>
  <si>
    <t xml:space="preserve">All venue spaces handed over and venuisation works complete.</t>
  </si>
  <si>
    <t xml:space="preserve">Zone-Specific Teams Established</t>
  </si>
  <si>
    <t xml:space="preserve">Zone-specific resourcing and teams in place across all departments.</t>
  </si>
  <si>
    <t xml:space="preserve">Incident Management &amp; Escalation Framework Approved</t>
  </si>
  <si>
    <t xml:space="preserve">Incident management and escalation framework signed off.</t>
  </si>
  <si>
    <t xml:space="preserve">CM.VMG.01</t>
  </si>
  <si>
    <t xml:space="preserve">Venue Readiness &amp; Operational Integration</t>
  </si>
  <si>
    <t xml:space="preserve">Assess venue readiness, operational structures, resource allocation, venuisation progress and integration of functional teams across the Expo site.</t>
  </si>
  <si>
    <t xml:space="preserve">CM.VMG.01.1</t>
  </si>
  <si>
    <t xml:space="preserve">Support MZE Session 1</t>
  </si>
  <si>
    <t xml:space="preserve">CM.VMG.01.2</t>
  </si>
  <si>
    <t xml:space="preserve">Support MZE Session 2</t>
  </si>
  <si>
    <t xml:space="preserve">CM.VMG.01.3</t>
  </si>
  <si>
    <t xml:space="preserve">Support MZE Session 3</t>
  </si>
  <si>
    <t xml:space="preserve">CM.VMG.01.4</t>
  </si>
  <si>
    <t xml:space="preserve">Support MZE Session 4</t>
  </si>
  <si>
    <t xml:space="preserve">CM.VMG.01.5</t>
  </si>
  <si>
    <t xml:space="preserve">Support MZE Session 5</t>
  </si>
  <si>
    <t xml:space="preserve">CM.VMG.01.6</t>
  </si>
  <si>
    <t xml:space="preserve">Support MZE Session 6</t>
  </si>
  <si>
    <t xml:space="preserve">CM.VMG.01.7</t>
  </si>
  <si>
    <t xml:space="preserve">IDW Sessions </t>
  </si>
  <si>
    <t xml:space="preserve">CM.VMG.02</t>
  </si>
  <si>
    <t xml:space="preserve">Transition to sitting in Zone Teams/Venuisation</t>
  </si>
  <si>
    <t xml:space="preserve">CM.VMG.03</t>
  </si>
  <si>
    <t xml:space="preserve">Venue Management Strategies &amp; Operational Plans</t>
  </si>
  <si>
    <t xml:space="preserve">Review Site Operating Plans, Zone Operating Plans, venue guidelines and operational procedures against event requirements and operational best practice.</t>
  </si>
  <si>
    <t xml:space="preserve">CM.VMG.03.1</t>
  </si>
  <si>
    <t xml:space="preserve">Fleet Map</t>
  </si>
  <si>
    <t xml:space="preserve">Support with the development of the fleet map</t>
  </si>
  <si>
    <t xml:space="preserve">Existing Fleet Map is captured in the Venue Management Department Operating Plan, however due to lack of experience building the fleet map for big scale events, fleet map acounts for 2 channels only, which doesn't consider cross and intra departmental channels within zones and across site to support effective communication</t>
  </si>
  <si>
    <t xml:space="preserve">CM.VMG.04</t>
  </si>
  <si>
    <t xml:space="preserve">Venue Masterplan</t>
  </si>
  <si>
    <t xml:space="preserve">Guide the site drawings, release dates, space planning and integration across the site</t>
  </si>
  <si>
    <t xml:space="preserve">CM.VMG.04.1</t>
  </si>
  <si>
    <t xml:space="preserve">Space Plan</t>
  </si>
  <si>
    <t xml:space="preserve">CM.VMG.05</t>
  </si>
  <si>
    <t xml:space="preserve">Venue Fitness Certification </t>
  </si>
  <si>
    <t xml:space="preserve">CM.VMG.05.1</t>
  </si>
  <si>
    <t xml:space="preserve">Intergration to IP Portal </t>
  </si>
  <si>
    <t xml:space="preserve">CM.VMG.06</t>
  </si>
  <si>
    <t xml:space="preserve">Review Command, Control &amp; Incident Management Planning</t>
  </si>
  <si>
    <t xml:space="preserve">Assess command and control structures, incident management frameworks, escalation processes, operational communications and integration with the Operations Centre.</t>
  </si>
  <si>
    <t xml:space="preserve">CM.VMG.07</t>
  </si>
  <si>
    <t xml:space="preserve">Support Operations Centre Planning &amp; Integration</t>
  </si>
  <si>
    <t xml:space="preserve">Support planning and implementation of the Expo Operations Centre, Venue Communication Centre, partner operations centres and functional operations centre interfaces.</t>
  </si>
  <si>
    <t xml:space="preserve">CM.VMG.07.1</t>
  </si>
  <si>
    <t xml:space="preserve">Daily Runsheet</t>
  </si>
  <si>
    <t xml:space="preserve">CM.VMG.08</t>
  </si>
  <si>
    <t xml:space="preserve">Venue Systems &amp; Operational Technology Readiness</t>
  </si>
  <si>
    <t xml:space="preserve">Assess incident management platforms, communication systems, Building Management Systems, public address systems, technology integration and operational readiness.</t>
  </si>
  <si>
    <t xml:space="preserve">Validate business requirements for the Incident Management platform</t>
  </si>
  <si>
    <t xml:space="preserve">CM.VMG.08.1</t>
  </si>
  <si>
    <t xml:space="preserve">CM.VMG.08.2</t>
  </si>
  <si>
    <t xml:space="preserve">Digital Screen </t>
  </si>
  <si>
    <t xml:space="preserve">Support with the development of materials to be shown on the screens. Scripts, visuals, programme planned</t>
  </si>
  <si>
    <t xml:space="preserve">CM.VMG.09</t>
  </si>
  <si>
    <t xml:space="preserve"> Venue Safety &amp; Emergency Planning</t>
  </si>
  <si>
    <t xml:space="preserve">Support integration of medical, fire, evacuation, emergency response, voice alarm systems and life safety requirements into venue operations.</t>
  </si>
  <si>
    <t xml:space="preserve">Medical Services Plan</t>
  </si>
  <si>
    <t xml:space="preserve">Medical currently sits within Venue Management's scope, Operating Plan captures details on Medical Operations, but no meeting been held with third party actually providing the service. No Medical procedures and policies have been shared describing the standard operating procedures and SLAs of the third party. Further discussions needed to understand operating principles, working hours etc.</t>
  </si>
  <si>
    <t xml:space="preserve">Volunteers</t>
  </si>
  <si>
    <t xml:space="preserve">KM.96</t>
  </si>
  <si>
    <t xml:space="preserve">Volunteer Strategy Published</t>
  </si>
  <si>
    <t xml:space="preserve">Kirsty</t>
  </si>
  <si>
    <t xml:space="preserve">KM.99</t>
  </si>
  <si>
    <t xml:space="preserve">Volunteer Program Commence</t>
  </si>
  <si>
    <t xml:space="preserve">KM.105</t>
  </si>
  <si>
    <t xml:space="preserve">Volunteers Recruitment And Training Commence</t>
  </si>
  <si>
    <t xml:space="preserve">Volunteer Handbook Published</t>
  </si>
  <si>
    <t xml:space="preserve">Core handbook covering policies, procedures and expectations published.</t>
  </si>
  <si>
    <t xml:space="preserve">First Wave Volunteer Recruitment Target Achieved</t>
  </si>
  <si>
    <t xml:space="preserve">Initial recruitment phase complete against staffing plan.</t>
  </si>
  <si>
    <t xml:space="preserve">Volunteer Marketing Campaign Launched</t>
  </si>
  <si>
    <t xml:space="preserve">Recruitment marketing campaign live across channels.</t>
  </si>
  <si>
    <t xml:space="preserve">Volunteer Retention &amp; Engagement Monitoring Live</t>
  </si>
  <si>
    <t xml:space="preserve">KPI framework for volunteer satisfaction and retention operational.</t>
  </si>
  <si>
    <t xml:space="preserve">Volunteer Insurance Policy &amp; Framework Approved</t>
  </si>
  <si>
    <t xml:space="preserve">Coverage scope, policy type and legal framework agreed.</t>
  </si>
  <si>
    <t xml:space="preserve">Volunteer Reward &amp; Recognition Programme Agreed</t>
  </si>
  <si>
    <t xml:space="preserve">Benefits package contracted and promoted to volunteer community.</t>
  </si>
  <si>
    <t xml:space="preserve">CM.VOL.01</t>
  </si>
  <si>
    <t xml:space="preserve">Volunteer Strategy &amp; Operational Plans</t>
  </si>
  <si>
    <t xml:space="preserve">Review volunteer strategy, operating plans, policies, procedures and delivery models against event requirements and operational objectives.</t>
  </si>
  <si>
    <t xml:space="preserve">CM.VOL.01.1</t>
  </si>
  <si>
    <t xml:space="preserve">CM.VOL.02</t>
  </si>
  <si>
    <t xml:space="preserve">Volunteer Workforce Planning &amp; Deployment Model</t>
  </si>
  <si>
    <t xml:space="preserve">Assess volunteer workforce requirements, role profiles, headcount assumptions, deployment models, shift structures and operational coverage.</t>
  </si>
  <si>
    <t xml:space="preserve">CM.VOL.03</t>
  </si>
  <si>
    <t xml:space="preserve">Volunteer Recruitment, Selection &amp; Onboarding Frameworks</t>
  </si>
  <si>
    <t xml:space="preserve">Support recruitment processes, selection criteria, onboarding journeys, eligibility requirements and volunteer mobilisation planning.</t>
  </si>
  <si>
    <t xml:space="preserve">CM.VOL.04</t>
  </si>
  <si>
    <t xml:space="preserve">Volunteer Engagement &amp; Retention Monitoring Framework Review</t>
  </si>
  <si>
    <t xml:space="preserve">Assure the KPI framework for volunteer satisfaction and retention is fit for purpose</t>
  </si>
  <si>
    <t xml:space="preserve">CM.VOL.05</t>
  </si>
  <si>
    <t xml:space="preserve">Volunteer Guidelines</t>
  </si>
  <si>
    <t xml:space="preserve">Provide guidance on what are suitable volunteer roles, hours of work, location assignment</t>
  </si>
  <si>
    <t xml:space="preserve">CM.VOL.06</t>
  </si>
  <si>
    <t xml:space="preserve">Volunteer Training &amp; Development Frameworks</t>
  </si>
  <si>
    <t xml:space="preserve">Assess training strategies, role-specific training requirements, induction programmes, accreditation needs and readiness processes.</t>
  </si>
  <si>
    <t xml:space="preserve">CM.VOL.07</t>
  </si>
  <si>
    <t xml:space="preserve">Volunteer Systems &amp; Technology Implementation</t>
  </si>
  <si>
    <t xml:space="preserve">Support volunteer management system requirements, configuration, testing, data management, scheduling tools and operational integration.</t>
  </si>
  <si>
    <t xml:space="preserve">CM.VOL.08</t>
  </si>
  <si>
    <t xml:space="preserve">Volunteer Welfare &amp; Support Frameworks</t>
  </si>
  <si>
    <t xml:space="preserve">Assess volunteer welfare arrangements, uniforms, catering, transport, facilities, communications and operational support requirements.</t>
  </si>
  <si>
    <t xml:space="preserve">CM.VOL.09</t>
  </si>
  <si>
    <t xml:space="preserve">Volunteer Deployment &amp; Command Structures</t>
  </si>
  <si>
    <t xml:space="preserve">Assess volunteer management structures, team leader models, reporting lines, escalation processes and integration with Venue and Functional Operations.</t>
  </si>
  <si>
    <t xml:space="preserve">CM.VOL.10</t>
  </si>
  <si>
    <t xml:space="preserve">Volunteer Readiness Reviews</t>
  </si>
  <si>
    <t xml:space="preserve">Assess volunteer programme readiness, workforce availability, training completion, systems, deployment plans and operational procedures against agreed criteria.</t>
  </si>
  <si>
    <t xml:space="preserve">Workforce (WKF)</t>
  </si>
  <si>
    <t xml:space="preserve">KM.104</t>
  </si>
  <si>
    <t xml:space="preserve">Workforce Catering Strategy Published</t>
  </si>
  <si>
    <t xml:space="preserve">KM.121</t>
  </si>
  <si>
    <t xml:space="preserve">Staff and Vendor - Venue Specific Training (VST) /Role Specific Training (RST) Training Complete</t>
  </si>
  <si>
    <t xml:space="preserve">KM.122</t>
  </si>
  <si>
    <t xml:space="preserve">First Wave of Volunteer Uniform Distribution Complete</t>
  </si>
  <si>
    <t xml:space="preserve">KM.150</t>
  </si>
  <si>
    <t xml:space="preserve">Workforce Catering Fully Operational</t>
  </si>
  <si>
    <t xml:space="preserve">Workforce Planning &amp; Headcount Model Approved</t>
  </si>
  <si>
    <t xml:space="preserve">Event-time workforce planning model and headcount approved.</t>
  </si>
  <si>
    <t xml:space="preserve">Workforce Management System (WFM) Live</t>
  </si>
  <si>
    <t xml:space="preserve">System for managing shifts, rostering and attendance operational.</t>
  </si>
  <si>
    <t xml:space="preserve">Uniform Design &amp; Sizing Finalised</t>
  </si>
  <si>
    <t xml:space="preserve">Uniform design finalised and sizing survey complete.</t>
  </si>
  <si>
    <t xml:space="preserve">ETOS V1 Review</t>
  </si>
  <si>
    <t xml:space="preserve">Business wide requirement</t>
  </si>
  <si>
    <t xml:space="preserve">ETOS Final Sign Off</t>
  </si>
  <si>
    <t xml:space="preserve">Schedule Submission Deadline</t>
  </si>
  <si>
    <t xml:space="preserve">Roster Submissions Deadline</t>
  </si>
  <si>
    <t xml:space="preserve">CM.WKF.01</t>
  </si>
  <si>
    <t xml:space="preserve">Workforce Strategy &amp; Operational Plans</t>
  </si>
  <si>
    <t xml:space="preserve">Review workforce strategies, headcount plans, organisational structures, workforce policies and operational procedures against event requirements.</t>
  </si>
  <si>
    <t xml:space="preserve">CM.WKF.01.1</t>
  </si>
  <si>
    <t xml:space="preserve">CM.WKF.02</t>
  </si>
  <si>
    <t xml:space="preserve">Workforce Planning &amp; Deployment Models</t>
  </si>
  <si>
    <t xml:space="preserve">Assess master headcount plans, position catalogues, critical roles, dot-planning, deployment models and Event-Time Organisational Structure (ETOS).</t>
  </si>
  <si>
    <t xml:space="preserve">CM.WKF.03</t>
  </si>
  <si>
    <t xml:space="preserve">Workforce Management System Implementation</t>
  </si>
  <si>
    <t xml:space="preserve">Support WMS requirements, system development, configuration, testing, integrations and operational readiness.</t>
  </si>
  <si>
    <t xml:space="preserve">CM.WKF.03.1</t>
  </si>
  <si>
    <t xml:space="preserve">Systems Scope and Business Requirement review</t>
  </si>
  <si>
    <t xml:space="preserve">Produced technical specifications required for the WMS</t>
  </si>
  <si>
    <t xml:space="preserve">Full supporting documents provided</t>
  </si>
  <si>
    <t xml:space="preserve">Meeting held with IT to take them through the requirements. IT currently reviewing</t>
  </si>
  <si>
    <t xml:space="preserve">CM.WKF.04</t>
  </si>
  <si>
    <t xml:space="preserve">Scheduling, Rostering &amp; Attendance Frameworks</t>
  </si>
  <si>
    <t xml:space="preserve">Assess rostering processes, shift planning, attendance management, rest policies, accreditation zone alignment and workforce tracking procedures.</t>
  </si>
  <si>
    <t xml:space="preserve">CM.WKF.05</t>
  </si>
  <si>
    <t xml:space="preserve">Learning Management System (LMS) Readiness Assessment</t>
  </si>
  <si>
    <t xml:space="preserve">Assess readiness of the LMS platform and training content pipeline</t>
  </si>
  <si>
    <t xml:space="preserve">CM.WKF.06</t>
  </si>
  <si>
    <t xml:space="preserve"> Workforce Training &amp; Onboarding Frameworks</t>
  </si>
  <si>
    <t xml:space="preserve">Support development of training strategies, learning pathways, training matrices, LMS implementation and role-specific training programmes.</t>
  </si>
  <si>
    <t xml:space="preserve">CM.WKF.07</t>
  </si>
  <si>
    <t xml:space="preserve">Workforce Uniform &amp; Equipment Planning</t>
  </si>
  <si>
    <t xml:space="preserve">Assess uniform strategy, procurement, sizing, distribution processes, PPE requirements and workforce equipment readiness.</t>
  </si>
  <si>
    <t xml:space="preserve">CM.WKF.08</t>
  </si>
  <si>
    <t xml:space="preserve">Workforce Catering &amp; Welfare Planning</t>
  </si>
  <si>
    <t xml:space="preserve">Assess workforce catering strategies, supplier arrangements, service levels, welfare facilities, rest areas and operational support requirements.</t>
  </si>
  <si>
    <t xml:space="preserve">CM.WKF.09</t>
  </si>
  <si>
    <t xml:space="preserve">Workforce Readiness Reviews</t>
  </si>
  <si>
    <t xml:space="preserve">Assess workforce readiness, staffing levels, training completion, systems, facilities and operational processes against agreed readiness criteria</t>
  </si>
  <si>
    <t xml:space="preserve">Catering (CAT)</t>
  </si>
  <si>
    <t xml:space="preserve">Catering operating model &amp; F&amp;B strategy approved</t>
  </si>
  <si>
    <t xml:space="preserve">Approval of the overarching catering strategy</t>
  </si>
  <si>
    <t xml:space="preserve">David/Andrew</t>
  </si>
  <si>
    <t xml:space="preserve">Catering operator(s) procured and contracted</t>
  </si>
  <si>
    <t xml:space="preserve">Procurement completed and contracts signed </t>
  </si>
  <si>
    <t xml:space="preserve">Staff &amp; volunteer catering model finalised</t>
  </si>
  <si>
    <t xml:space="preserve">Volunteers, Workforce and Event Catering  plans approved</t>
  </si>
  <si>
    <t xml:space="preserve">Three Pillar plan signed off</t>
  </si>
  <si>
    <t xml:space="preserve">Food safety, hygiene &amp; licensing compliance secured</t>
  </si>
  <si>
    <t xml:space="preserve">All catering outlets meet food safety, hygiene and licensing requirements ahead of operations.</t>
  </si>
  <si>
    <t xml:space="preserve">Catering Spaces fit-out complete </t>
  </si>
  <si>
    <t xml:space="preserve">Physical fit-out  completed</t>
  </si>
  <si>
    <t xml:space="preserve">Sponsor / exclusivity agreements signed</t>
  </si>
  <si>
    <t xml:space="preserve">Sponsorship and exclusivity agreements finalised.</t>
  </si>
  <si>
    <t xml:space="preserve">Catering logistics &amp; supply chain operational </t>
  </si>
  <si>
    <t xml:space="preserve">Supply chain, delivery and warehousing arrangements for catering operational, coordinated with Logistics.</t>
  </si>
  <si>
    <t xml:space="preserve">Catering Pre Event Operational</t>
  </si>
  <si>
    <t xml:space="preserve">All catering operations pre event activity live and tested </t>
  </si>
  <si>
    <t xml:space="preserve">Catering Event Time Operational</t>
  </si>
  <si>
    <t xml:space="preserve">All catering operations live and tested ahead of event-time</t>
  </si>
  <si>
    <t xml:space="preserve">CM.CAT.01</t>
  </si>
  <si>
    <t xml:space="preserve">Catering Strategy &amp; Operational Plans</t>
  </si>
  <si>
    <t xml:space="preserve">Overarching catering strategy and operating plan covering public F&amp;B, staff/volunteer catering, VIP/protocol and sponsor exclusivity.</t>
  </si>
  <si>
    <t xml:space="preserve">CM.CAT.01.01</t>
  </si>
  <si>
    <t xml:space="preserve">Ops F&amp;B Scope Defined</t>
  </si>
  <si>
    <t xml:space="preserve">David /Andrew</t>
  </si>
  <si>
    <t xml:space="preserve">CM.CAT.02</t>
  </si>
  <si>
    <t xml:space="preserve">Catering Management System Implementation</t>
  </si>
  <si>
    <t xml:space="preserve">Implementation of POS, ordering, inventory and reporting systems supporting catering operations.</t>
  </si>
  <si>
    <t xml:space="preserve">CM.CAT.03</t>
  </si>
  <si>
    <t xml:space="preserve">Menu Planning, Scheduling &amp; Service Frameworks</t>
  </si>
  <si>
    <t xml:space="preserve">Menu development, service scheduling and outlet operating hours frameworks across all catering categories.</t>
  </si>
  <si>
    <t xml:space="preserve">CM.CAT.04</t>
  </si>
  <si>
    <t xml:space="preserve">Food Safety &amp; Hygiene Readiness Assessment</t>
  </si>
  <si>
    <t xml:space="preserve">Assessment of food safety, hygiene and licensing readiness across all catering outlets and operators.</t>
  </si>
  <si>
    <t xml:space="preserve">CM.CAT.05</t>
  </si>
  <si>
    <t xml:space="preserve">Catering Staff Training &amp; Onboarding Frameworks</t>
  </si>
  <si>
    <t xml:space="preserve">Training and onboarding frameworks for catering staff, operators and volunteers supporting F&amp;B delivery.</t>
  </si>
  <si>
    <t xml:space="preserve">CM.CAT.06</t>
  </si>
  <si>
    <t xml:space="preserve">Catering Uniform &amp; Equipment Planning</t>
  </si>
  <si>
    <t xml:space="preserve">Planning for catering uniforms, service equipment and outlet fit-out requirements.</t>
  </si>
  <si>
    <t xml:space="preserve">CM.CAT.07</t>
  </si>
  <si>
    <t xml:space="preserve">Staff &amp; Volunteer Catering Welfare Planning</t>
  </si>
  <si>
    <t xml:space="preserve">Welfare-focused catering plan for staff and volunteers, transitioning ownership from Workforce.</t>
  </si>
  <si>
    <t xml:space="preserve">CM.CAT.08</t>
  </si>
  <si>
    <t xml:space="preserve">Catering Readiness Reviews</t>
  </si>
  <si>
    <t xml:space="preserve">Structured readiness reviews across all catering operations ahead of event-time go-live.</t>
  </si>
  <si>
    <t xml:space="preserve">Consultant Milestones (S21)</t>
  </si>
  <si>
    <t xml:space="preserve">Task</t>
  </si>
  <si>
    <t xml:space="preserve">EX27 Operations Timeline</t>
  </si>
  <si>
    <t xml:space="preserve">Pulled live from Tracker. Formulas update when Tracker changes.</t>
  </si>
  <si>
    <t xml:space="preserve">In progress</t>
  </si>
  <si>
    <t xml:space="preserve">At risk / blocked</t>
  </si>
  <si>
    <t xml:space="preserve">Workstream summary</t>
  </si>
  <si>
    <t xml:space="preserve">Current week</t>
  </si>
  <si>
    <t xml:space="preserve">Sep 2025</t>
  </si>
  <si>
    <t xml:space="preserve">Oct 2025</t>
  </si>
  <si>
    <t xml:space="preserve">Nov 2025</t>
  </si>
  <si>
    <t xml:space="preserve">Dec 2025</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</si>
  <si>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</si>
  <si>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</si>
  <si>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</si>
  <si>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</si>
  <si>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</si>
  <si>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</si>
  <si>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</si>
  <si>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</si>
  <si>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</si>
  <si>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</si>
  <si>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</si>
  <si>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</si>
  <si>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Jan 2027</t>
  </si>
  <si>
    <t xml:space="preserve">Feb 2027</t>
  </si>
  <si>
    <t xml:space="preserve">Mar 2027</t>
  </si>
  <si>
    <t xml:space="preserve">Apr 2027</t>
  </si>
  <si>
    <t xml:space="preserve">May 2027</t>
  </si>
  <si>
    <t xml:space="preserve">Jun 2027</t>
  </si>
  <si>
    <t xml:space="preserve">Jul 2027</t>
  </si>
  <si>
    <t xml:space="preserve">Aug 2027</t>
  </si>
  <si>
    <t xml:space="preserve">Sep 2027</t>
  </si>
  <si>
    <t xml:space="preserve">Oct 2027</t>
  </si>
  <si>
    <t xml:space="preserve">Nov 2027</t>
  </si>
  <si>
    <t xml:space="preserve">Dec 2027</t>
  </si>
  <si>
    <t xml:space="preserve">Task Name</t>
  </si>
  <si>
    <t xml:space="preserve">Workstream</t>
  </si>
  <si>
    <t xml:space="preserve">Owner</t>
  </si>
  <si>
    <t xml:space="preserve">Start</t>
  </si>
  <si>
    <t xml:space="preserve">Finish</t>
  </si>
  <si>
    <t xml:space="preserve">StatusRef</t>
  </si>
  <si>
    <t xml:space="preserve">WORKSTREAM_SUMMARY</t>
  </si>
  <si>
    <t xml:space="preserve">Design &amp; Construction</t>
  </si>
  <si>
    <t xml:space="preserve">Guest Services (GTS)</t>
  </si>
  <si>
    <t xml:space="preserve">Health &amp; Safety</t>
  </si>
  <si>
    <t xml:space="preserve">Unassigned</t>
  </si>
</sst>
</file>

<file path=xl/styles.xml><?xml version="1.0" encoding="utf-8"?>
<styleSheet xmlns="http://schemas.openxmlformats.org/spreadsheetml/2006/main">
  <numFmts count="8">
    <numFmt numFmtId="164" formatCode="General"/>
    <numFmt numFmtId="165" formatCode="[$-409]d\-mmm\-yy;@"/>
    <numFmt numFmtId="166" formatCode="dd\-mmm\-yyyy"/>
    <numFmt numFmtId="167" formatCode="m/d/yyyy"/>
    <numFmt numFmtId="168" formatCode="d\-mmm\-yy"/>
    <numFmt numFmtId="169" formatCode="dd\ mmm\ yyyy"/>
    <numFmt numFmtId="170" formatCode="d\-mmm"/>
    <numFmt numFmtId="171" formatCode="dd\-mmm\-yy;;;"/>
  </numFmts>
  <fonts count="33">
    <font>
      <sz val="12"/>
      <color theme="1"/>
      <name val="Aptos Narrow"/>
      <family val="2"/>
      <charset val="1"/>
    </font>
    <font>
      <sz val="10"/>
      <name val="Arial"/>
      <family val="0"/>
    </font>
    <font>
      <sz val="10"/>
      <name val="Arial"/>
      <family val="0"/>
    </font>
    <font>
      <sz val="10"/>
      <name val="Arial"/>
      <family val="0"/>
    </font>
    <font>
      <b val="true"/>
      <sz val="16"/>
      <color rgb="FF0D0B4E"/>
      <name val="Arial"/>
      <family val="2"/>
      <charset val="1"/>
    </font>
    <font>
      <sz val="10"/>
      <name val="Arial"/>
      <family val="2"/>
      <charset val="1"/>
    </font>
    <font>
      <b val="true"/>
      <sz val="12"/>
      <color rgb="FFFFFFFF"/>
      <name val="Arial"/>
      <family val="2"/>
      <charset val="1"/>
    </font>
    <font>
      <b val="true"/>
      <sz val="10"/>
      <color rgb="FFFFFFFF"/>
      <name val="Arial"/>
      <family val="2"/>
      <charset val="1"/>
    </font>
    <font>
      <b val="true"/>
      <sz val="10"/>
      <name val="Arial"/>
      <family val="2"/>
      <charset val="1"/>
    </font>
    <font>
      <sz val="12"/>
      <color theme="1"/>
      <name val="Montserrat Regular"/>
      <family val="0"/>
      <charset val="1"/>
    </font>
    <font>
      <b val="true"/>
      <sz val="16"/>
      <color rgb="FFFFFFFF"/>
      <name val="Arial"/>
      <family val="2"/>
      <charset val="1"/>
    </font>
    <font>
      <b val="true"/>
      <sz val="10"/>
      <color rgb="FF1F3864"/>
      <name val="Arial"/>
      <family val="2"/>
      <charset val="1"/>
    </font>
    <font>
      <sz val="10"/>
      <color rgb="FF000000"/>
      <name val="Arial"/>
      <family val="2"/>
      <charset val="1"/>
    </font>
    <font>
      <sz val="12"/>
      <name val="Montserrat Regular"/>
      <family val="0"/>
      <charset val="1"/>
    </font>
    <font>
      <b val="true"/>
      <sz val="10"/>
      <color rgb="FFFFFFFF"/>
      <name val="Calibri"/>
      <family val="2"/>
      <charset val="1"/>
    </font>
    <font>
      <b val="true"/>
      <sz val="10"/>
      <color theme="1"/>
      <name val="Calibri"/>
      <family val="2"/>
      <charset val="1"/>
    </font>
    <font>
      <b val="true"/>
      <sz val="10"/>
      <color rgb="FF000000"/>
      <name val="Arial"/>
      <family val="2"/>
      <charset val="1"/>
    </font>
    <font>
      <sz val="10"/>
      <color theme="1"/>
      <name val="Arial"/>
      <family val="2"/>
      <charset val="1"/>
    </font>
    <font>
      <sz val="10"/>
      <name val="Calibri"/>
      <family val="2"/>
      <charset val="1"/>
    </font>
    <font>
      <sz val="10"/>
      <color theme="1"/>
      <name val="Calibri"/>
      <family val="2"/>
      <charset val="1"/>
    </font>
    <font>
      <b val="true"/>
      <sz val="10"/>
      <name val="Montserrat"/>
      <family val="0"/>
      <charset val="1"/>
    </font>
    <font>
      <b val="true"/>
      <sz val="10"/>
      <color theme="1"/>
      <name val="Montserrat"/>
      <family val="0"/>
      <charset val="1"/>
    </font>
    <font>
      <sz val="10"/>
      <name val="Montserrat"/>
      <family val="0"/>
      <charset val="1"/>
    </font>
    <font>
      <sz val="10"/>
      <color theme="1"/>
      <name val="Aptos Narrow"/>
      <family val="0"/>
      <charset val="1"/>
    </font>
    <font>
      <sz val="10"/>
      <name val="Arial"/>
      <family val="2"/>
    </font>
    <font>
      <sz val="9"/>
      <color rgb="FF404040"/>
      <name val="Arial"/>
      <family val="2"/>
      <charset val="1"/>
    </font>
    <font>
      <b val="true"/>
      <sz val="14"/>
      <color rgb="FFFFFFFF"/>
      <name val="Montserrat"/>
      <family val="0"/>
      <charset val="1"/>
    </font>
    <font>
      <sz val="8"/>
      <name val="Montserrat"/>
      <family val="0"/>
      <charset val="1"/>
    </font>
    <font>
      <b val="true"/>
      <sz val="10"/>
      <color rgb="FFFFFFFF"/>
      <name val="Montserrat"/>
      <family val="0"/>
      <charset val="1"/>
    </font>
    <font>
      <b val="true"/>
      <sz val="7"/>
      <color rgb="FFFFFFFF"/>
      <name val="Montserrat"/>
      <family val="0"/>
      <charset val="1"/>
    </font>
    <font>
      <b val="true"/>
      <sz val="9"/>
      <name val="Montserrat"/>
      <family val="0"/>
      <charset val="1"/>
    </font>
    <font>
      <sz val="9"/>
      <name val="Montserrat"/>
      <family val="0"/>
      <charset val="1"/>
    </font>
    <font>
      <sz val="9"/>
      <color rgb="FFC00000"/>
      <name val="Montserrat"/>
      <family val="0"/>
      <charset val="1"/>
    </font>
  </fonts>
  <fills count="33">
    <fill>
      <patternFill patternType="none"/>
    </fill>
    <fill>
      <patternFill patternType="gray125"/>
    </fill>
    <fill>
      <patternFill patternType="solid">
        <fgColor rgb="FF0D0B4E"/>
        <bgColor rgb="FF0D0C4E"/>
      </patternFill>
    </fill>
    <fill>
      <patternFill patternType="solid">
        <fgColor rgb="FFFFFFFF"/>
        <bgColor rgb="FFFDF2EC"/>
      </patternFill>
    </fill>
    <fill>
      <patternFill patternType="solid">
        <fgColor rgb="FFFFF2CC"/>
        <bgColor rgb="FFFDF2EC"/>
      </patternFill>
    </fill>
    <fill>
      <patternFill patternType="solid">
        <fgColor rgb="FFF2F2F2"/>
        <bgColor rgb="FFFDF2EC"/>
      </patternFill>
    </fill>
    <fill>
      <patternFill patternType="solid">
        <fgColor rgb="FFF8CBAD"/>
        <bgColor rgb="FFF9CBAD"/>
      </patternFill>
    </fill>
    <fill>
      <patternFill patternType="solid">
        <fgColor rgb="FFC9E5FF"/>
        <bgColor rgb="FFDCDCF0"/>
      </patternFill>
    </fill>
    <fill>
      <patternFill patternType="solid">
        <fgColor rgb="FFC7E1B4"/>
        <bgColor rgb="FFC6E0B4"/>
      </patternFill>
    </fill>
    <fill>
      <patternFill patternType="solid">
        <fgColor rgb="FFFF6E00"/>
        <bgColor rgb="FFC77D22"/>
      </patternFill>
    </fill>
    <fill>
      <patternFill patternType="solid">
        <fgColor theme="0" tint="-0.25"/>
        <bgColor rgb="FFCCCCCC"/>
      </patternFill>
    </fill>
    <fill>
      <patternFill patternType="solid">
        <fgColor rgb="FFE4C8F2"/>
        <bgColor rgb="FFE4C7F1"/>
      </patternFill>
    </fill>
    <fill>
      <patternFill patternType="solid">
        <fgColor rgb="FF1F3864"/>
        <bgColor rgb="FF333399"/>
      </patternFill>
    </fill>
    <fill>
      <patternFill patternType="solid">
        <fgColor rgb="FFC6E0B4"/>
        <bgColor rgb="FFC7E1B4"/>
      </patternFill>
    </fill>
    <fill>
      <patternFill patternType="solid">
        <fgColor theme="6" tint="0.3999"/>
        <bgColor rgb="FF1AE279"/>
      </patternFill>
    </fill>
    <fill>
      <patternFill patternType="solid">
        <fgColor rgb="FFF9CBAD"/>
        <bgColor rgb="FFF8CBAD"/>
      </patternFill>
    </fill>
    <fill>
      <patternFill patternType="solid">
        <fgColor rgb="FFE4C7F1"/>
        <bgColor rgb="FFE4C8F2"/>
      </patternFill>
    </fill>
    <fill>
      <patternFill patternType="solid">
        <fgColor rgb="FFBDD7EE"/>
        <bgColor rgb="FFC9E5FF"/>
      </patternFill>
    </fill>
    <fill>
      <patternFill patternType="solid">
        <fgColor rgb="FFC77D22"/>
        <bgColor rgb="FFFF6E00"/>
      </patternFill>
    </fill>
    <fill>
      <patternFill patternType="solid">
        <fgColor rgb="FFA9D18E"/>
        <bgColor rgb="FFC6E0B4"/>
      </patternFill>
    </fill>
    <fill>
      <patternFill patternType="solid">
        <fgColor rgb="FFD9D9D9"/>
        <bgColor rgb="FFDCDCF0"/>
      </patternFill>
    </fill>
    <fill>
      <patternFill patternType="solid">
        <fgColor rgb="FFC0392B"/>
        <bgColor rgb="FF993366"/>
      </patternFill>
    </fill>
    <fill>
      <patternFill patternType="solid">
        <fgColor rgb="FFFBE4D5"/>
        <bgColor rgb="FFFBE3D6"/>
      </patternFill>
    </fill>
    <fill>
      <patternFill patternType="solid">
        <fgColor rgb="FFFDF2EC"/>
        <bgColor rgb="FFF2F2F2"/>
      </patternFill>
    </fill>
    <fill>
      <patternFill patternType="solid">
        <fgColor rgb="FFE8F9F0"/>
        <bgColor rgb="FFF2F2F2"/>
      </patternFill>
    </fill>
    <fill>
      <patternFill patternType="solid">
        <fgColor rgb="FF0FA85E"/>
        <bgColor rgb="FF00B050"/>
      </patternFill>
    </fill>
    <fill>
      <patternFill patternType="solid">
        <fgColor theme="5" tint="0.7999"/>
        <bgColor rgb="FFFBE4D5"/>
      </patternFill>
    </fill>
    <fill>
      <patternFill patternType="solid">
        <fgColor rgb="FF0D0C4E"/>
        <bgColor rgb="FF0D0B4E"/>
      </patternFill>
    </fill>
    <fill>
      <patternFill patternType="solid">
        <fgColor rgb="FF1AE279"/>
        <bgColor rgb="FF47D45A"/>
      </patternFill>
    </fill>
    <fill>
      <patternFill patternType="solid">
        <fgColor rgb="FFE21A83"/>
        <bgColor rgb="FFC0392B"/>
      </patternFill>
    </fill>
    <fill>
      <patternFill patternType="solid">
        <fgColor rgb="FFBEF2D6"/>
        <bgColor rgb="FFC9E5FF"/>
      </patternFill>
    </fill>
    <fill>
      <patternFill patternType="solid">
        <fgColor rgb="FFDCDCF0"/>
        <bgColor rgb="FFD9D9D9"/>
      </patternFill>
    </fill>
    <fill>
      <patternFill patternType="solid">
        <fgColor rgb="FFE7E7F2"/>
        <bgColor rgb="FFF2F2F2"/>
      </patternFill>
    </fill>
  </fills>
  <borders count="6">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left" vertical="center" textRotation="0" wrapText="tru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5" fillId="5" borderId="0" xfId="0" applyFont="true" applyBorder="true" applyAlignment="true" applyProtection="false">
      <alignment horizontal="left" vertical="center" textRotation="0" wrapText="true" indent="0" shrinkToFit="false"/>
      <protection locked="true" hidden="false"/>
    </xf>
    <xf numFmtId="164" fontId="0" fillId="9" borderId="1" xfId="0" applyFont="false" applyBorder="true" applyAlignment="false" applyProtection="false">
      <alignment horizontal="general" vertical="bottom" textRotation="0" wrapText="false" indent="0" shrinkToFit="false"/>
      <protection locked="true" hidden="false"/>
    </xf>
    <xf numFmtId="164" fontId="0" fillId="10" borderId="1" xfId="0" applyFont="false" applyBorder="true" applyAlignment="false" applyProtection="false">
      <alignment horizontal="general" vertical="bottom" textRotation="0" wrapText="false" indent="0" shrinkToFit="false"/>
      <protection locked="true" hidden="false"/>
    </xf>
    <xf numFmtId="164" fontId="0" fillId="11"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0" fillId="12" borderId="0" xfId="0" applyFont="true" applyBorder="true" applyAlignment="true" applyProtection="false">
      <alignment horizontal="left" vertical="center" textRotation="0" wrapText="false" indent="1" shrinkToFit="false"/>
      <protection locked="true" hidden="false"/>
    </xf>
    <xf numFmtId="165" fontId="11" fillId="5" borderId="0" xfId="0" applyFont="true" applyBorder="false" applyAlignment="false" applyProtection="false">
      <alignment horizontal="general" vertical="bottom" textRotation="0" wrapText="false" indent="0" shrinkToFit="false"/>
      <protection locked="true" hidden="false"/>
    </xf>
    <xf numFmtId="164" fontId="0" fillId="13" borderId="2" xfId="0" applyFont="true" applyBorder="true" applyAlignment="true" applyProtection="false">
      <alignment horizontal="general" vertical="bottom" textRotation="0" wrapText="true" indent="0" shrinkToFit="false"/>
      <protection locked="true" hidden="false"/>
    </xf>
    <xf numFmtId="164" fontId="0" fillId="4" borderId="2" xfId="0" applyFont="true" applyBorder="true" applyAlignment="true" applyProtection="false">
      <alignment horizontal="general" vertical="bottom" textRotation="0" wrapText="true" indent="0" shrinkToFit="false"/>
      <protection locked="true" hidden="false"/>
    </xf>
    <xf numFmtId="164" fontId="0" fillId="14" borderId="0" xfId="0" applyFont="false" applyBorder="true" applyAlignment="false" applyProtection="false">
      <alignment horizontal="general" vertical="bottom" textRotation="0" wrapText="false" indent="0" shrinkToFit="false"/>
      <protection locked="true" hidden="false"/>
    </xf>
    <xf numFmtId="165" fontId="0" fillId="5" borderId="0" xfId="0" applyFont="false" applyBorder="false" applyAlignment="false" applyProtection="false">
      <alignment horizontal="general" vertical="bottom" textRotation="0" wrapText="false" indent="0" shrinkToFit="false"/>
      <protection locked="true" hidden="false"/>
    </xf>
    <xf numFmtId="164" fontId="0" fillId="9" borderId="2" xfId="0" applyFont="true" applyBorder="true" applyAlignment="true" applyProtection="false">
      <alignment horizontal="general" vertical="bottom" textRotation="0" wrapText="true" indent="0" shrinkToFit="false"/>
      <protection locked="true" hidden="false"/>
    </xf>
    <xf numFmtId="164" fontId="0" fillId="15" borderId="2" xfId="0" applyFont="true" applyBorder="true" applyAlignment="true" applyProtection="false">
      <alignment horizontal="general" vertical="bottom" textRotation="0" wrapText="true" indent="0" shrinkToFit="false"/>
      <protection locked="true" hidden="false"/>
    </xf>
    <xf numFmtId="164" fontId="11" fillId="5" borderId="0" xfId="0" applyFont="true" applyBorder="true" applyAlignment="true" applyProtection="false">
      <alignment horizontal="left" vertical="center" textRotation="0" wrapText="false" indent="1" shrinkToFit="false"/>
      <protection locked="true" hidden="false"/>
    </xf>
    <xf numFmtId="164" fontId="12" fillId="5" borderId="0" xfId="0" applyFont="true" applyBorder="true" applyAlignment="true" applyProtection="false">
      <alignment horizontal="left"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16" borderId="2" xfId="0" applyFont="true" applyBorder="true" applyAlignment="true" applyProtection="false">
      <alignment horizontal="general" vertical="bottom" textRotation="0" wrapText="true" indent="0" shrinkToFit="false"/>
      <protection locked="true" hidden="false"/>
    </xf>
    <xf numFmtId="164" fontId="0" fillId="7" borderId="2" xfId="0" applyFont="true" applyBorder="true" applyAlignment="true" applyProtection="false">
      <alignment horizontal="general" vertical="bottom" textRotation="0" wrapText="true" indent="0" shrinkToFit="false"/>
      <protection locked="true" hidden="false"/>
    </xf>
    <xf numFmtId="165" fontId="0" fillId="17" borderId="3" xfId="0" applyFont="true" applyBorder="true" applyAlignment="true" applyProtection="false">
      <alignment horizontal="general" vertical="bottom" textRotation="0" wrapText="true" indent="0" shrinkToFit="false"/>
      <protection locked="true" hidden="false"/>
    </xf>
    <xf numFmtId="165" fontId="0" fillId="0" borderId="3" xfId="0" applyFont="true" applyBorder="true" applyAlignment="true" applyProtection="false">
      <alignment horizontal="general" vertical="bottom" textRotation="0" wrapText="true" indent="0" shrinkToFit="false"/>
      <protection locked="true" hidden="false"/>
    </xf>
    <xf numFmtId="165" fontId="0" fillId="10" borderId="3" xfId="0" applyFont="true" applyBorder="true" applyAlignment="true" applyProtection="false">
      <alignment horizontal="general" vertical="bottom" textRotation="0" wrapText="true" indent="0" shrinkToFit="false"/>
      <protection locked="true" hidden="false"/>
    </xf>
    <xf numFmtId="166" fontId="12" fillId="5" borderId="0" xfId="0" applyFont="true" applyBorder="true" applyAlignment="true" applyProtection="false">
      <alignment horizontal="left" vertical="center" textRotation="0" wrapText="false" indent="0" shrinkToFit="false"/>
      <protection locked="true" hidden="false"/>
    </xf>
    <xf numFmtId="167" fontId="9" fillId="0" borderId="0" xfId="0" applyFont="true" applyBorder="false" applyAlignment="true" applyProtection="false">
      <alignment horizontal="left" vertical="bottom" textRotation="0" wrapText="false" indent="0" shrinkToFit="false"/>
      <protection locked="true" hidden="false"/>
    </xf>
    <xf numFmtId="164" fontId="14" fillId="12" borderId="2" xfId="0" applyFont="true" applyBorder="true" applyAlignment="true" applyProtection="false">
      <alignment horizontal="center" vertical="center" textRotation="0" wrapText="true" indent="0" shrinkToFit="false"/>
      <protection locked="true" hidden="false"/>
    </xf>
    <xf numFmtId="165" fontId="14" fillId="12" borderId="2" xfId="0" applyFont="true" applyBorder="true" applyAlignment="true" applyProtection="false">
      <alignment horizontal="center" vertical="center" textRotation="0" wrapText="true" indent="0" shrinkToFit="false"/>
      <protection locked="true" hidden="false"/>
    </xf>
    <xf numFmtId="164" fontId="15" fillId="12" borderId="2" xfId="0" applyFont="true" applyBorder="true" applyAlignment="true" applyProtection="false">
      <alignment horizontal="center" vertical="center" textRotation="0" wrapText="true" indent="0" shrinkToFit="false"/>
      <protection locked="true" hidden="false"/>
    </xf>
    <xf numFmtId="164" fontId="16" fillId="4" borderId="4" xfId="0" applyFont="true" applyBorder="true" applyAlignment="true" applyProtection="false">
      <alignment horizontal="center" vertical="top" textRotation="0" wrapText="false" indent="0" shrinkToFit="false"/>
      <protection locked="true" hidden="false"/>
    </xf>
    <xf numFmtId="164" fontId="16" fillId="4" borderId="4" xfId="0" applyFont="true" applyBorder="true" applyAlignment="true" applyProtection="false">
      <alignment horizontal="center" vertical="top" textRotation="0" wrapText="true" indent="0" shrinkToFit="false"/>
      <protection locked="true" hidden="false"/>
    </xf>
    <xf numFmtId="164" fontId="16" fillId="4" borderId="4" xfId="0" applyFont="true" applyBorder="true" applyAlignment="true" applyProtection="false">
      <alignment horizontal="left" vertical="top" textRotation="0" wrapText="true" indent="0" shrinkToFit="false"/>
      <protection locked="true" hidden="false"/>
    </xf>
    <xf numFmtId="164" fontId="11" fillId="4" borderId="4" xfId="0" applyFont="true" applyBorder="true" applyAlignment="true" applyProtection="false">
      <alignment horizontal="general" vertical="top" textRotation="0" wrapText="true" indent="0" shrinkToFit="false"/>
      <protection locked="true" hidden="false"/>
    </xf>
    <xf numFmtId="165" fontId="16" fillId="4" borderId="4" xfId="0" applyFont="true" applyBorder="true" applyAlignment="true" applyProtection="false">
      <alignment horizontal="center" vertical="top" textRotation="0" wrapText="false" indent="0" shrinkToFit="false"/>
      <protection locked="true" hidden="false"/>
    </xf>
    <xf numFmtId="164" fontId="17" fillId="18" borderId="4" xfId="0" applyFont="true" applyBorder="true" applyAlignment="true" applyProtection="false">
      <alignment horizontal="center" vertical="top" textRotation="0" wrapText="false" indent="0" shrinkToFit="false"/>
      <protection locked="true" hidden="false"/>
    </xf>
    <xf numFmtId="164" fontId="17" fillId="19" borderId="4" xfId="0" applyFont="true" applyBorder="true" applyAlignment="true" applyProtection="false">
      <alignment horizontal="center" vertical="top" textRotation="0" wrapText="false" indent="0" shrinkToFit="false"/>
      <protection locked="true" hidden="false"/>
    </xf>
    <xf numFmtId="168" fontId="16" fillId="4" borderId="4" xfId="0" applyFont="true" applyBorder="true" applyAlignment="true" applyProtection="false">
      <alignment horizontal="center" vertical="top" textRotation="0" wrapText="false" indent="0" shrinkToFit="false"/>
      <protection locked="true" hidden="false"/>
    </xf>
    <xf numFmtId="164" fontId="17" fillId="0" borderId="4" xfId="0" applyFont="true" applyBorder="true" applyAlignment="true" applyProtection="false">
      <alignment horizontal="center" vertical="top" textRotation="0" wrapText="false" indent="0" shrinkToFit="false"/>
      <protection locked="true" hidden="false"/>
    </xf>
    <xf numFmtId="164" fontId="11" fillId="4" borderId="4" xfId="0" applyFont="true" applyBorder="true" applyAlignment="true" applyProtection="false">
      <alignment horizontal="left" vertical="top" textRotation="0" wrapText="true" indent="0" shrinkToFit="false"/>
      <protection locked="true" hidden="false"/>
    </xf>
    <xf numFmtId="164" fontId="17" fillId="20" borderId="4" xfId="0" applyFont="true" applyBorder="true" applyAlignment="true" applyProtection="false">
      <alignment horizontal="center" vertical="top" textRotation="0" wrapText="false" indent="0" shrinkToFit="false"/>
      <protection locked="true" hidden="false"/>
    </xf>
    <xf numFmtId="164" fontId="18" fillId="6" borderId="4" xfId="0" applyFont="true" applyBorder="true" applyAlignment="true" applyProtection="false">
      <alignment horizontal="center" vertical="top" textRotation="0" wrapText="false" indent="0" shrinkToFit="false"/>
      <protection locked="true" hidden="false"/>
    </xf>
    <xf numFmtId="164" fontId="18" fillId="6" borderId="4" xfId="0" applyFont="true" applyBorder="true" applyAlignment="true" applyProtection="false">
      <alignment horizontal="general" vertical="top" textRotation="0" wrapText="false" indent="0" shrinkToFit="false"/>
      <protection locked="true" hidden="false"/>
    </xf>
    <xf numFmtId="164" fontId="18" fillId="6" borderId="4" xfId="0" applyFont="true" applyBorder="true" applyAlignment="true" applyProtection="false">
      <alignment horizontal="general" vertical="top" textRotation="0" wrapText="true" indent="0" shrinkToFit="false"/>
      <protection locked="true" hidden="false"/>
    </xf>
    <xf numFmtId="169" fontId="18" fillId="6" borderId="4" xfId="0" applyFont="true" applyBorder="true" applyAlignment="true" applyProtection="false">
      <alignment horizontal="center" vertical="top" textRotation="0" wrapText="false" indent="0" shrinkToFit="false"/>
      <protection locked="true" hidden="false"/>
    </xf>
    <xf numFmtId="165" fontId="18" fillId="6" borderId="4" xfId="0" applyFont="true" applyBorder="true" applyAlignment="true" applyProtection="false">
      <alignment horizontal="general" vertical="top" textRotation="0" wrapText="false" indent="0" shrinkToFit="false"/>
      <protection locked="true" hidden="false"/>
    </xf>
    <xf numFmtId="164" fontId="19" fillId="21" borderId="4" xfId="0" applyFont="true" applyBorder="true" applyAlignment="true" applyProtection="false">
      <alignment horizontal="general" vertical="top" textRotation="0" wrapText="false" indent="0" shrinkToFit="false"/>
      <protection locked="true" hidden="false"/>
    </xf>
    <xf numFmtId="164" fontId="12" fillId="4" borderId="4" xfId="0" applyFont="true" applyBorder="true" applyAlignment="true" applyProtection="false">
      <alignment horizontal="left" vertical="top" textRotation="0" wrapText="true" indent="0" shrinkToFit="false"/>
      <protection locked="true" hidden="false"/>
    </xf>
    <xf numFmtId="164" fontId="20" fillId="6" borderId="4" xfId="0" applyFont="true" applyBorder="true" applyAlignment="true" applyProtection="false">
      <alignment horizontal="center" vertical="top" textRotation="0" wrapText="false" indent="0" shrinkToFit="false"/>
      <protection locked="true" hidden="false"/>
    </xf>
    <xf numFmtId="164" fontId="20" fillId="6" borderId="4" xfId="0" applyFont="true" applyBorder="true" applyAlignment="true" applyProtection="false">
      <alignment horizontal="general" vertical="top" textRotation="0" wrapText="false" indent="0" shrinkToFit="false"/>
      <protection locked="true" hidden="false"/>
    </xf>
    <xf numFmtId="164" fontId="20" fillId="6" borderId="4" xfId="0" applyFont="true" applyBorder="true" applyAlignment="true" applyProtection="false">
      <alignment horizontal="general" vertical="top" textRotation="0" wrapText="true" indent="0" shrinkToFit="false"/>
      <protection locked="true" hidden="false"/>
    </xf>
    <xf numFmtId="165" fontId="20" fillId="6" borderId="4" xfId="0" applyFont="true" applyBorder="true" applyAlignment="true" applyProtection="false">
      <alignment horizontal="general" vertical="top" textRotation="0" wrapText="false" indent="0" shrinkToFit="false"/>
      <protection locked="true" hidden="false"/>
    </xf>
    <xf numFmtId="164" fontId="21" fillId="21" borderId="4" xfId="0" applyFont="true" applyBorder="true" applyAlignment="true" applyProtection="false">
      <alignment horizontal="general" vertical="top" textRotation="0" wrapText="false" indent="0" shrinkToFit="false"/>
      <protection locked="true" hidden="false"/>
    </xf>
    <xf numFmtId="164" fontId="22" fillId="22" borderId="4" xfId="0" applyFont="true" applyBorder="true" applyAlignment="true" applyProtection="false">
      <alignment horizontal="center" vertical="top" textRotation="0" wrapText="false" indent="0" shrinkToFit="false"/>
      <protection locked="true" hidden="false"/>
    </xf>
    <xf numFmtId="164" fontId="22" fillId="22" borderId="4" xfId="0" applyFont="true" applyBorder="true" applyAlignment="true" applyProtection="false">
      <alignment horizontal="general" vertical="top" textRotation="0" wrapText="false" indent="0" shrinkToFit="false"/>
      <protection locked="true" hidden="false"/>
    </xf>
    <xf numFmtId="164" fontId="22" fillId="22" borderId="4" xfId="0" applyFont="true" applyBorder="true" applyAlignment="true" applyProtection="false">
      <alignment horizontal="general" vertical="top" textRotation="0" wrapText="true" indent="0" shrinkToFit="false"/>
      <protection locked="true" hidden="false"/>
    </xf>
    <xf numFmtId="165" fontId="22" fillId="22" borderId="4" xfId="0" applyFont="true" applyBorder="true" applyAlignment="true" applyProtection="false">
      <alignment horizontal="general" vertical="top" textRotation="0" wrapText="false" indent="0" shrinkToFit="false"/>
      <protection locked="true" hidden="false"/>
    </xf>
    <xf numFmtId="164" fontId="22" fillId="23" borderId="4" xfId="0" applyFont="true" applyBorder="true" applyAlignment="true" applyProtection="false">
      <alignment horizontal="center" vertical="top" textRotation="0" wrapText="false" indent="0" shrinkToFit="false"/>
      <protection locked="true" hidden="false"/>
    </xf>
    <xf numFmtId="164" fontId="22" fillId="23" borderId="4" xfId="0" applyFont="true" applyBorder="true" applyAlignment="true" applyProtection="false">
      <alignment horizontal="general" vertical="top" textRotation="0" wrapText="false" indent="0" shrinkToFit="false"/>
      <protection locked="true" hidden="false"/>
    </xf>
    <xf numFmtId="164" fontId="22" fillId="23" borderId="4" xfId="0" applyFont="true" applyBorder="true" applyAlignment="true" applyProtection="false">
      <alignment horizontal="general" vertical="top" textRotation="0" wrapText="true" indent="0" shrinkToFit="false"/>
      <protection locked="true" hidden="false"/>
    </xf>
    <xf numFmtId="165" fontId="22" fillId="23" borderId="4" xfId="0" applyFont="true" applyBorder="true" applyAlignment="true" applyProtection="false">
      <alignment horizontal="general" vertical="top" textRotation="0" wrapText="false" indent="0" shrinkToFit="false"/>
      <protection locked="true" hidden="false"/>
    </xf>
    <xf numFmtId="165" fontId="20" fillId="6" borderId="4" xfId="0" applyFont="true" applyBorder="true" applyAlignment="true" applyProtection="false">
      <alignment horizontal="general" vertical="top" textRotation="0" wrapText="true" indent="0" shrinkToFit="false"/>
      <protection locked="true" hidden="false"/>
    </xf>
    <xf numFmtId="164" fontId="22" fillId="22" borderId="0" xfId="0" applyFont="true" applyBorder="false" applyAlignment="true" applyProtection="false">
      <alignment horizontal="general" vertical="top" textRotation="0" wrapText="true" indent="0" shrinkToFit="false"/>
      <protection locked="true" hidden="false"/>
    </xf>
    <xf numFmtId="164" fontId="22" fillId="22" borderId="4" xfId="0" applyFont="true" applyBorder="true" applyAlignment="true" applyProtection="false">
      <alignment horizontal="center" vertical="top" textRotation="0" wrapText="true" indent="0" shrinkToFit="false"/>
      <protection locked="true" hidden="false"/>
    </xf>
    <xf numFmtId="165" fontId="22" fillId="22" borderId="4"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20" fillId="24" borderId="4" xfId="0" applyFont="true" applyBorder="true" applyAlignment="true" applyProtection="false">
      <alignment horizontal="center" vertical="top" textRotation="0" wrapText="false" indent="0" shrinkToFit="false"/>
      <protection locked="true" hidden="false"/>
    </xf>
    <xf numFmtId="164" fontId="20" fillId="24" borderId="4" xfId="0" applyFont="true" applyBorder="true" applyAlignment="true" applyProtection="false">
      <alignment horizontal="general" vertical="top" textRotation="0" wrapText="false" indent="0" shrinkToFit="false"/>
      <protection locked="true" hidden="false"/>
    </xf>
    <xf numFmtId="164" fontId="20" fillId="24" borderId="4" xfId="0" applyFont="true" applyBorder="true" applyAlignment="true" applyProtection="false">
      <alignment horizontal="general" vertical="top" textRotation="0" wrapText="true" indent="0" shrinkToFit="false"/>
      <protection locked="true" hidden="false"/>
    </xf>
    <xf numFmtId="165" fontId="20" fillId="24" borderId="4" xfId="0" applyFont="true" applyBorder="true" applyAlignment="true" applyProtection="false">
      <alignment horizontal="general" vertical="top" textRotation="0" wrapText="false" indent="0" shrinkToFit="false"/>
      <protection locked="true" hidden="false"/>
    </xf>
    <xf numFmtId="164" fontId="17" fillId="21" borderId="4" xfId="0" applyFont="true" applyBorder="true" applyAlignment="true" applyProtection="false">
      <alignment horizontal="center" vertical="top" textRotation="0" wrapText="false" indent="0" shrinkToFit="false"/>
      <protection locked="true" hidden="false"/>
    </xf>
    <xf numFmtId="164" fontId="16" fillId="4" borderId="4" xfId="0" applyFont="true" applyBorder="true" applyAlignment="true" applyProtection="false">
      <alignment horizontal="left" vertical="top" textRotation="0" wrapText="false" indent="0" shrinkToFit="false"/>
      <protection locked="true" hidden="false"/>
    </xf>
    <xf numFmtId="164" fontId="17" fillId="25" borderId="4" xfId="0" applyFont="true" applyBorder="true" applyAlignment="true" applyProtection="false">
      <alignment horizontal="center" vertical="top" textRotation="0" wrapText="false" indent="0" shrinkToFit="false"/>
      <protection locked="true" hidden="false"/>
    </xf>
    <xf numFmtId="164" fontId="16" fillId="4" borderId="0" xfId="0" applyFont="true" applyBorder="false" applyAlignment="true" applyProtection="false">
      <alignment horizontal="center" vertical="top" textRotation="0" wrapText="false" indent="0" shrinkToFit="false"/>
      <protection locked="true" hidden="false"/>
    </xf>
    <xf numFmtId="164" fontId="11" fillId="4" borderId="0" xfId="0" applyFont="true" applyBorder="false" applyAlignment="true" applyProtection="false">
      <alignment horizontal="left" vertical="top" textRotation="0" wrapText="true" indent="0" shrinkToFit="false"/>
      <protection locked="true" hidden="false"/>
    </xf>
    <xf numFmtId="164" fontId="16" fillId="4" borderId="0" xfId="0" applyFont="true" applyBorder="false" applyAlignment="true" applyProtection="false">
      <alignment horizontal="left" vertical="top" textRotation="0" wrapText="true" indent="0" shrinkToFit="false"/>
      <protection locked="true" hidden="false"/>
    </xf>
    <xf numFmtId="165" fontId="16" fillId="4" borderId="0" xfId="0" applyFont="true" applyBorder="false" applyAlignment="true" applyProtection="false">
      <alignment horizontal="center" vertical="top" textRotation="0" wrapText="false" indent="0" shrinkToFit="false"/>
      <protection locked="true" hidden="false"/>
    </xf>
    <xf numFmtId="164" fontId="17" fillId="20" borderId="0" xfId="0" applyFont="true" applyBorder="false" applyAlignment="true" applyProtection="false">
      <alignment horizontal="center" vertical="top" textRotation="0" wrapText="false" indent="0" shrinkToFit="false"/>
      <protection locked="true" hidden="false"/>
    </xf>
    <xf numFmtId="164" fontId="18" fillId="26" borderId="4" xfId="0" applyFont="true" applyBorder="true" applyAlignment="true" applyProtection="false">
      <alignment horizontal="center" vertical="top" textRotation="0" wrapText="false" indent="0" shrinkToFit="false"/>
      <protection locked="true" hidden="false"/>
    </xf>
    <xf numFmtId="164" fontId="18" fillId="26" borderId="4" xfId="0" applyFont="true" applyBorder="true" applyAlignment="true" applyProtection="false">
      <alignment horizontal="general" vertical="top" textRotation="0" wrapText="false" indent="0" shrinkToFit="false"/>
      <protection locked="true" hidden="false"/>
    </xf>
    <xf numFmtId="164" fontId="18" fillId="26" borderId="4" xfId="0" applyFont="true" applyBorder="true" applyAlignment="true" applyProtection="false">
      <alignment horizontal="general" vertical="top" textRotation="0" wrapText="true" indent="0" shrinkToFit="false"/>
      <protection locked="true" hidden="false"/>
    </xf>
    <xf numFmtId="169" fontId="18" fillId="26" borderId="4" xfId="0" applyFont="true" applyBorder="true" applyAlignment="true" applyProtection="false">
      <alignment horizontal="center" vertical="top" textRotation="0" wrapText="false" indent="0" shrinkToFit="false"/>
      <protection locked="true" hidden="false"/>
    </xf>
    <xf numFmtId="165" fontId="18" fillId="26" borderId="4" xfId="0" applyFont="true" applyBorder="true" applyAlignment="true" applyProtection="false">
      <alignment horizontal="general" vertical="top" textRotation="0" wrapText="false" indent="0" shrinkToFit="false"/>
      <protection locked="true" hidden="false"/>
    </xf>
    <xf numFmtId="164" fontId="19" fillId="26" borderId="4" xfId="0" applyFont="true" applyBorder="true" applyAlignment="true" applyProtection="false">
      <alignment horizontal="general" vertical="top" textRotation="0" wrapText="false" indent="0" shrinkToFit="false"/>
      <protection locked="true" hidden="false"/>
    </xf>
    <xf numFmtId="169" fontId="18" fillId="26" borderId="4" xfId="0" applyFont="true" applyBorder="true" applyAlignment="true" applyProtection="false">
      <alignment horizontal="general" vertical="top" textRotation="0" wrapText="true" indent="0" shrinkToFit="false"/>
      <protection locked="true" hidden="false"/>
    </xf>
    <xf numFmtId="164" fontId="5" fillId="20" borderId="4" xfId="0" applyFont="true" applyBorder="true" applyAlignment="true" applyProtection="false">
      <alignment horizontal="center" vertical="top" textRotation="0" wrapText="false" indent="0" shrinkToFit="false"/>
      <protection locked="true" hidden="false"/>
    </xf>
    <xf numFmtId="164" fontId="19" fillId="21" borderId="4" xfId="0" applyFont="true" applyBorder="true" applyAlignment="true" applyProtection="false">
      <alignment horizontal="center" vertical="top" textRotation="0" wrapText="false" indent="0" shrinkToFit="false"/>
      <protection locked="true" hidden="false"/>
    </xf>
    <xf numFmtId="164" fontId="23" fillId="18" borderId="4" xfId="0" applyFont="true" applyBorder="true" applyAlignment="true" applyProtection="false">
      <alignment horizontal="center" vertical="top" textRotation="0" wrapText="false" indent="0" shrinkToFit="false"/>
      <protection locked="true" hidden="false"/>
    </xf>
    <xf numFmtId="164" fontId="18" fillId="26" borderId="0" xfId="0" applyFont="true" applyBorder="false" applyAlignment="true" applyProtection="false">
      <alignment horizontal="general" vertical="top" textRotation="0" wrapText="true" indent="0" shrinkToFit="false"/>
      <protection locked="true" hidden="false"/>
    </xf>
    <xf numFmtId="164" fontId="16" fillId="4" borderId="0" xfId="0" applyFont="true" applyBorder="false" applyAlignment="true" applyProtection="false">
      <alignment horizontal="center" vertical="top" textRotation="0" wrapText="true" indent="0" shrinkToFit="false"/>
      <protection locked="true" hidden="false"/>
    </xf>
    <xf numFmtId="164" fontId="18" fillId="26" borderId="0" xfId="0" applyFont="true" applyBorder="false" applyAlignment="true" applyProtection="false">
      <alignment horizontal="center" vertical="top" textRotation="0" wrapText="false" indent="0" shrinkToFit="false"/>
      <protection locked="true" hidden="false"/>
    </xf>
    <xf numFmtId="164" fontId="18" fillId="26" borderId="0" xfId="0" applyFont="true" applyBorder="false" applyAlignment="true" applyProtection="false">
      <alignment horizontal="general" vertical="top" textRotation="0" wrapText="false" indent="0" shrinkToFit="false"/>
      <protection locked="true" hidden="false"/>
    </xf>
    <xf numFmtId="169" fontId="18" fillId="26" borderId="0" xfId="0" applyFont="true" applyBorder="false" applyAlignment="true" applyProtection="false">
      <alignment horizontal="center" vertical="top" textRotation="0" wrapText="false" indent="0" shrinkToFit="false"/>
      <protection locked="true" hidden="false"/>
    </xf>
    <xf numFmtId="165" fontId="18" fillId="26" borderId="0" xfId="0" applyFont="true" applyBorder="false" applyAlignment="true" applyProtection="false">
      <alignment horizontal="general" vertical="top" textRotation="0" wrapText="false" indent="0" shrinkToFit="false"/>
      <protection locked="true" hidden="false"/>
    </xf>
    <xf numFmtId="164" fontId="19" fillId="15" borderId="0" xfId="0" applyFont="true" applyBorder="false" applyAlignment="true" applyProtection="false">
      <alignment horizontal="general" vertical="top" textRotation="0" wrapText="false" indent="0" shrinkToFit="false"/>
      <protection locked="true" hidden="false"/>
    </xf>
    <xf numFmtId="169" fontId="18" fillId="15" borderId="4" xfId="0" applyFont="true" applyBorder="true" applyAlignment="true" applyProtection="false">
      <alignment horizontal="general" vertical="top" textRotation="0" wrapText="true" indent="0" shrinkToFit="false"/>
      <protection locked="true" hidden="false"/>
    </xf>
    <xf numFmtId="165" fontId="18" fillId="26" borderId="0" xfId="0" applyFont="true" applyBorder="false" applyAlignment="true" applyProtection="false">
      <alignment horizontal="center" vertical="top" textRotation="0" wrapText="false" indent="0" shrinkToFit="false"/>
      <protection locked="true" hidden="false"/>
    </xf>
    <xf numFmtId="164" fontId="18" fillId="6" borderId="0" xfId="0" applyFont="true" applyBorder="false" applyAlignment="true" applyProtection="false">
      <alignment horizontal="center" vertical="top" textRotation="0" wrapText="false" indent="0" shrinkToFit="false"/>
      <protection locked="true" hidden="false"/>
    </xf>
    <xf numFmtId="164" fontId="18" fillId="6" borderId="0" xfId="0" applyFont="true" applyBorder="false" applyAlignment="true" applyProtection="false">
      <alignment horizontal="general" vertical="top" textRotation="0" wrapText="false" indent="0" shrinkToFit="false"/>
      <protection locked="true" hidden="false"/>
    </xf>
    <xf numFmtId="164" fontId="18" fillId="6" borderId="0" xfId="0" applyFont="true" applyBorder="false" applyAlignment="true" applyProtection="false">
      <alignment horizontal="general" vertical="top" textRotation="0" wrapText="true" indent="0" shrinkToFit="false"/>
      <protection locked="true" hidden="false"/>
    </xf>
    <xf numFmtId="169" fontId="18" fillId="6" borderId="0" xfId="0" applyFont="true" applyBorder="false" applyAlignment="true" applyProtection="false">
      <alignment horizontal="center" vertical="top" textRotation="0" wrapText="false" indent="0" shrinkToFit="false"/>
      <protection locked="true" hidden="false"/>
    </xf>
    <xf numFmtId="165" fontId="18" fillId="6" borderId="0" xfId="0" applyFont="true" applyBorder="false" applyAlignment="true" applyProtection="false">
      <alignment horizontal="general" vertical="top" textRotation="0" wrapText="false" indent="0" shrinkToFit="false"/>
      <protection locked="true" hidden="false"/>
    </xf>
    <xf numFmtId="164" fontId="17" fillId="19" borderId="0" xfId="0" applyFont="true" applyBorder="false" applyAlignment="true" applyProtection="false">
      <alignment horizontal="center" vertical="top" textRotation="0" wrapText="false" indent="0" shrinkToFit="false"/>
      <protection locked="true" hidden="false"/>
    </xf>
    <xf numFmtId="164" fontId="19" fillId="21" borderId="0" xfId="0" applyFont="true" applyBorder="false" applyAlignment="true" applyProtection="false">
      <alignment horizontal="general" vertical="top" textRotation="0" wrapText="false" indent="0" shrinkToFit="false"/>
      <protection locked="true" hidden="false"/>
    </xf>
    <xf numFmtId="164" fontId="18" fillId="15" borderId="0" xfId="0" applyFont="true" applyBorder="false" applyAlignment="true" applyProtection="false">
      <alignment horizontal="center" vertical="top" textRotation="0" wrapText="false" indent="0" shrinkToFit="false"/>
      <protection locked="true" hidden="false"/>
    </xf>
    <xf numFmtId="164" fontId="18" fillId="15" borderId="4" xfId="0" applyFont="true" applyBorder="true" applyAlignment="true" applyProtection="false">
      <alignment horizontal="center" vertical="top" textRotation="0" wrapText="false" indent="0" shrinkToFit="false"/>
      <protection locked="true" hidden="false"/>
    </xf>
    <xf numFmtId="164" fontId="18" fillId="15" borderId="4" xfId="0" applyFont="true" applyBorder="true" applyAlignment="true" applyProtection="false">
      <alignment horizontal="general" vertical="top" textRotation="0" wrapText="false" indent="0" shrinkToFit="false"/>
      <protection locked="true" hidden="false"/>
    </xf>
    <xf numFmtId="164" fontId="18" fillId="15" borderId="4" xfId="0" applyFont="true" applyBorder="true" applyAlignment="true" applyProtection="false">
      <alignment horizontal="general" vertical="top" textRotation="0" wrapText="true" indent="0" shrinkToFit="false"/>
      <protection locked="true" hidden="false"/>
    </xf>
    <xf numFmtId="169" fontId="18" fillId="15" borderId="4" xfId="0" applyFont="true" applyBorder="true" applyAlignment="true" applyProtection="false">
      <alignment horizontal="center" vertical="top" textRotation="0" wrapText="false" indent="0" shrinkToFit="false"/>
      <protection locked="true" hidden="false"/>
    </xf>
    <xf numFmtId="165" fontId="18" fillId="15" borderId="4" xfId="0" applyFont="true" applyBorder="true" applyAlignment="true" applyProtection="false">
      <alignment horizontal="general" vertical="top" textRotation="0" wrapText="false" indent="0" shrinkToFit="false"/>
      <protection locked="true" hidden="false"/>
    </xf>
    <xf numFmtId="164" fontId="18" fillId="15" borderId="0" xfId="0" applyFont="true" applyBorder="false" applyAlignment="true" applyProtection="false">
      <alignment horizontal="general" vertical="top" textRotation="0" wrapText="false" indent="0" shrinkToFit="false"/>
      <protection locked="true" hidden="false"/>
    </xf>
    <xf numFmtId="164" fontId="18" fillId="15" borderId="0" xfId="0" applyFont="true" applyBorder="false" applyAlignment="true" applyProtection="false">
      <alignment horizontal="general" vertical="top" textRotation="0" wrapText="true" indent="0" shrinkToFit="false"/>
      <protection locked="true" hidden="false"/>
    </xf>
    <xf numFmtId="169" fontId="18" fillId="15" borderId="0" xfId="0" applyFont="true" applyBorder="false" applyAlignment="true" applyProtection="false">
      <alignment horizontal="center" vertical="top" textRotation="0" wrapText="false" indent="0" shrinkToFit="false"/>
      <protection locked="true" hidden="false"/>
    </xf>
    <xf numFmtId="165" fontId="18" fillId="15" borderId="0" xfId="0" applyFont="true" applyBorder="false" applyAlignment="true" applyProtection="false">
      <alignment horizontal="general" vertical="top" textRotation="0" wrapText="false" indent="0" shrinkToFit="false"/>
      <protection locked="true" hidden="false"/>
    </xf>
    <xf numFmtId="165" fontId="18" fillId="15" borderId="0" xfId="0" applyFont="true" applyBorder="false" applyAlignment="true" applyProtection="false">
      <alignment horizontal="center" vertical="top" textRotation="0" wrapText="false" indent="0" shrinkToFit="false"/>
      <protection locked="true" hidden="false"/>
    </xf>
    <xf numFmtId="164" fontId="19" fillId="26" borderId="0" xfId="0" applyFont="true" applyBorder="false" applyAlignment="true" applyProtection="false">
      <alignment horizontal="general" vertical="top" textRotation="0" wrapText="false" indent="0" shrinkToFit="false"/>
      <protection locked="true" hidden="false"/>
    </xf>
    <xf numFmtId="164" fontId="11" fillId="4" borderId="0" xfId="0" applyFont="true" applyBorder="false" applyAlignment="true" applyProtection="false">
      <alignment horizontal="general" vertical="top" textRotation="0" wrapText="true" indent="0" shrinkToFit="false"/>
      <protection locked="true" hidden="false"/>
    </xf>
    <xf numFmtId="164" fontId="17" fillId="21" borderId="0" xfId="0" applyFont="true" applyBorder="false" applyAlignment="true" applyProtection="false">
      <alignment horizontal="center" vertical="top" textRotation="0" wrapText="false" indent="0" shrinkToFit="false"/>
      <protection locked="true" hidden="false"/>
    </xf>
    <xf numFmtId="164" fontId="17" fillId="25" borderId="0" xfId="0" applyFont="true" applyBorder="false" applyAlignment="true" applyProtection="false">
      <alignment horizontal="center" vertical="top" textRotation="0" wrapText="false" indent="0" shrinkToFit="false"/>
      <protection locked="true" hidden="false"/>
    </xf>
    <xf numFmtId="169" fontId="18" fillId="26" borderId="0" xfId="0" applyFont="true" applyBorder="false" applyAlignment="true" applyProtection="false">
      <alignment horizontal="general" vertical="top" textRotation="0" wrapText="true" indent="0" shrinkToFit="false"/>
      <protection locked="true" hidden="false"/>
    </xf>
    <xf numFmtId="164" fontId="19" fillId="19" borderId="4" xfId="0" applyFont="true" applyBorder="true" applyAlignment="true" applyProtection="false">
      <alignment horizontal="general" vertical="top" textRotation="0" wrapText="false" indent="0" shrinkToFit="false"/>
      <protection locked="true" hidden="false"/>
    </xf>
    <xf numFmtId="164" fontId="18" fillId="26" borderId="4" xfId="0" applyFont="true" applyBorder="true" applyAlignment="true" applyProtection="false">
      <alignment horizontal="left" vertical="top" textRotation="0" wrapText="true" indent="1" shrinkToFit="false"/>
      <protection locked="true" hidden="false"/>
    </xf>
    <xf numFmtId="164" fontId="19" fillId="20" borderId="4" xfId="0" applyFont="true" applyBorder="true" applyAlignment="true" applyProtection="false">
      <alignment horizontal="general" vertical="top" textRotation="0" wrapText="false" indent="0" shrinkToFit="false"/>
      <protection locked="true" hidden="false"/>
    </xf>
    <xf numFmtId="164" fontId="5" fillId="3" borderId="4" xfId="0" applyFont="true" applyBorder="true" applyAlignment="true" applyProtection="false">
      <alignment horizontal="left" vertical="top" textRotation="0" wrapText="true" indent="0" shrinkToFit="false"/>
      <protection locked="true" hidden="false"/>
    </xf>
    <xf numFmtId="164" fontId="12" fillId="0" borderId="4" xfId="0" applyFont="true" applyBorder="true" applyAlignment="true" applyProtection="false">
      <alignment horizontal="left" vertical="top" textRotation="0" wrapText="true" indent="0" shrinkToFit="false"/>
      <protection locked="true" hidden="false"/>
    </xf>
    <xf numFmtId="165" fontId="18" fillId="6" borderId="4" xfId="0" applyFont="true" applyBorder="true" applyAlignment="true" applyProtection="false">
      <alignment horizontal="center" vertical="top" textRotation="0" wrapText="false" indent="0" shrinkToFit="false"/>
      <protection locked="true" hidden="false"/>
    </xf>
    <xf numFmtId="165" fontId="18" fillId="26" borderId="4" xfId="0" applyFont="true" applyBorder="true" applyAlignment="true" applyProtection="false">
      <alignment horizontal="center" vertical="top" textRotation="0" wrapText="false" indent="0" shrinkToFit="false"/>
      <protection locked="true" hidden="false"/>
    </xf>
    <xf numFmtId="164" fontId="5" fillId="4" borderId="2" xfId="0" applyFont="true" applyBorder="true" applyAlignment="true" applyProtection="false">
      <alignment horizontal="general" vertical="top" textRotation="0" wrapText="false" indent="0" shrinkToFit="false"/>
      <protection locked="true" hidden="false"/>
    </xf>
    <xf numFmtId="164" fontId="8" fillId="4" borderId="2" xfId="0" applyFont="true" applyBorder="true" applyAlignment="true" applyProtection="false">
      <alignment horizontal="general" vertical="top" textRotation="0" wrapText="false" indent="0" shrinkToFit="false"/>
      <protection locked="true" hidden="false"/>
    </xf>
    <xf numFmtId="164" fontId="8" fillId="4" borderId="2" xfId="0" applyFont="true" applyBorder="true" applyAlignment="true" applyProtection="false">
      <alignment horizontal="general" vertical="top" textRotation="0" wrapText="true" indent="0" shrinkToFit="false"/>
      <protection locked="true" hidden="false"/>
    </xf>
    <xf numFmtId="164" fontId="5" fillId="4" borderId="2" xfId="0" applyFont="true" applyBorder="true" applyAlignment="true" applyProtection="false">
      <alignment horizontal="general" vertical="top" textRotation="0" wrapText="true" indent="0" shrinkToFit="false"/>
      <protection locked="true" hidden="false"/>
    </xf>
    <xf numFmtId="164" fontId="5" fillId="20" borderId="2" xfId="0" applyFont="true" applyBorder="true" applyAlignment="true" applyProtection="false">
      <alignment horizontal="general" vertical="top" textRotation="0" wrapText="false" indent="0" shrinkToFit="false"/>
      <protection locked="true" hidden="false"/>
    </xf>
    <xf numFmtId="164" fontId="0" fillId="13" borderId="5" xfId="0" applyFont="false" applyBorder="true" applyAlignment="false" applyProtection="false">
      <alignment horizontal="general" vertical="bottom" textRotation="0" wrapText="false" indent="0" shrinkToFit="false"/>
      <protection locked="true" hidden="false"/>
    </xf>
    <xf numFmtId="164" fontId="25" fillId="5" borderId="5" xfId="0" applyFont="true" applyBorder="true" applyAlignment="true" applyProtection="false">
      <alignment horizontal="left" vertical="center" textRotation="0" wrapText="false" indent="0" shrinkToFit="false"/>
      <protection locked="true" hidden="false"/>
    </xf>
    <xf numFmtId="164" fontId="18" fillId="4" borderId="5" xfId="0" applyFont="true" applyBorder="true" applyAlignment="false" applyProtection="false">
      <alignment horizontal="general" vertical="bottom" textRotation="0" wrapText="false" indent="0" shrinkToFit="false"/>
      <protection locked="true" hidden="false"/>
    </xf>
    <xf numFmtId="164" fontId="0" fillId="9" borderId="5" xfId="0" applyFont="false" applyBorder="true" applyAlignment="false" applyProtection="false">
      <alignment horizontal="general" vertical="bottom" textRotation="0" wrapText="false" indent="0" shrinkToFit="false"/>
      <protection locked="true" hidden="false"/>
    </xf>
    <xf numFmtId="164" fontId="18" fillId="6" borderId="5" xfId="0" applyFont="true" applyBorder="true" applyAlignment="false" applyProtection="false">
      <alignment horizontal="general" vertical="bottom" textRotation="0" wrapText="false" indent="0" shrinkToFit="false"/>
      <protection locked="true" hidden="false"/>
    </xf>
    <xf numFmtId="164" fontId="0" fillId="16" borderId="5" xfId="0" applyFont="false" applyBorder="true" applyAlignment="false" applyProtection="false">
      <alignment horizontal="general" vertical="bottom" textRotation="0" wrapText="false" indent="0" shrinkToFit="false"/>
      <protection locked="true" hidden="false"/>
    </xf>
    <xf numFmtId="164" fontId="9" fillId="7" borderId="5" xfId="0" applyFont="true" applyBorder="true" applyAlignment="false" applyProtection="false">
      <alignment horizontal="general" vertical="bottom" textRotation="0" wrapText="false" indent="0" shrinkToFit="false"/>
      <protection locked="true" hidden="false"/>
    </xf>
    <xf numFmtId="164" fontId="0" fillId="17" borderId="5" xfId="0" applyFont="false" applyBorder="true" applyAlignment="false" applyProtection="false">
      <alignment horizontal="general"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0" fillId="10" borderId="5" xfId="0" applyFont="false" applyBorder="true" applyAlignment="false" applyProtection="false">
      <alignment horizontal="general" vertical="bottom" textRotation="0" wrapText="false" indent="0" shrinkToFit="false"/>
      <protection locked="true" hidden="false"/>
    </xf>
    <xf numFmtId="164" fontId="26" fillId="27" borderId="0" xfId="0" applyFont="true" applyBorder="true" applyAlignment="true" applyProtection="false">
      <alignment horizontal="left" vertical="center" textRotation="0" wrapText="false" indent="1" shrinkToFit="false"/>
      <protection locked="true" hidden="false"/>
    </xf>
    <xf numFmtId="164" fontId="27" fillId="0" borderId="0" xfId="0" applyFont="true" applyBorder="true" applyAlignment="true" applyProtection="false">
      <alignment horizontal="left" vertical="center" textRotation="0" wrapText="false" indent="1" shrinkToFit="false"/>
      <protection locked="true" hidden="false"/>
    </xf>
    <xf numFmtId="164" fontId="0" fillId="28" borderId="4" xfId="0" applyFont="false" applyBorder="true" applyAlignment="false" applyProtection="fals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center" textRotation="0" wrapText="false" indent="0" shrinkToFit="false"/>
      <protection locked="true" hidden="false"/>
    </xf>
    <xf numFmtId="164" fontId="0" fillId="29" borderId="4" xfId="0" applyFont="false" applyBorder="true" applyAlignment="false" applyProtection="false">
      <alignment horizontal="general" vertical="bottom" textRotation="0" wrapText="false" indent="0" shrinkToFit="false"/>
      <protection locked="true" hidden="false"/>
    </xf>
    <xf numFmtId="164" fontId="0" fillId="30" borderId="4" xfId="0" applyFont="false" applyBorder="true" applyAlignment="false" applyProtection="false">
      <alignment horizontal="general" vertical="bottom" textRotation="0" wrapText="false" indent="0" shrinkToFit="false"/>
      <protection locked="true" hidden="false"/>
    </xf>
    <xf numFmtId="164" fontId="0" fillId="27" borderId="4" xfId="0" applyFont="false" applyBorder="true" applyAlignment="false" applyProtection="false">
      <alignment horizontal="general" vertical="bottom" textRotation="0" wrapText="false" indent="0" shrinkToFit="false"/>
      <protection locked="true" hidden="false"/>
    </xf>
    <xf numFmtId="164" fontId="0" fillId="31" borderId="4" xfId="0" applyFont="false" applyBorder="tru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28" fillId="27" borderId="0" xfId="0" applyFont="true" applyBorder="false" applyAlignment="true" applyProtection="false">
      <alignment horizontal="center" vertical="center" textRotation="0" wrapText="false" indent="0" shrinkToFit="false"/>
      <protection locked="true" hidden="false"/>
    </xf>
    <xf numFmtId="164" fontId="28" fillId="27" borderId="0" xfId="0" applyFont="true" applyBorder="true" applyAlignment="true" applyProtection="false">
      <alignment horizontal="center" vertical="center" textRotation="0" wrapText="false" indent="0" shrinkToFit="false"/>
      <protection locked="true" hidden="false"/>
    </xf>
    <xf numFmtId="164" fontId="28" fillId="27" borderId="4" xfId="0" applyFont="true" applyBorder="true" applyAlignment="true" applyProtection="false">
      <alignment horizontal="left" vertical="center" textRotation="0" wrapText="false" indent="1" shrinkToFit="false"/>
      <protection locked="true" hidden="false"/>
    </xf>
    <xf numFmtId="170" fontId="29" fillId="27" borderId="0" xfId="0" applyFont="true" applyBorder="false" applyAlignment="true" applyProtection="false">
      <alignment horizontal="center" vertical="center" textRotation="90" wrapText="false" indent="0" shrinkToFit="false"/>
      <protection locked="true" hidden="false"/>
    </xf>
    <xf numFmtId="170" fontId="29" fillId="29" borderId="0" xfId="0" applyFont="true" applyBorder="false" applyAlignment="true" applyProtection="false">
      <alignment horizontal="center" vertical="center" textRotation="90" wrapText="false" indent="0" shrinkToFit="false"/>
      <protection locked="true" hidden="false"/>
    </xf>
    <xf numFmtId="164" fontId="28" fillId="27" borderId="0" xfId="0" applyFont="true" applyBorder="false" applyAlignment="false" applyProtection="false">
      <alignment horizontal="general" vertical="bottom" textRotation="0" wrapText="false" indent="0" shrinkToFit="false"/>
      <protection locked="true" hidden="false"/>
    </xf>
    <xf numFmtId="164" fontId="0" fillId="32" borderId="4" xfId="0" applyFont="false" applyBorder="true" applyAlignment="false" applyProtection="false">
      <alignment horizontal="general" vertical="bottom" textRotation="0" wrapText="false" indent="0" shrinkToFit="false"/>
      <protection locked="true" hidden="false"/>
    </xf>
    <xf numFmtId="164" fontId="30" fillId="32" borderId="4" xfId="0" applyFont="true" applyBorder="true" applyAlignment="false" applyProtection="false">
      <alignment horizontal="general" vertical="bottom" textRotation="0" wrapText="false" indent="0" shrinkToFit="false"/>
      <protection locked="true" hidden="false"/>
    </xf>
    <xf numFmtId="171" fontId="30" fillId="32" borderId="4"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31" fillId="0" borderId="4" xfId="0" applyFont="true" applyBorder="true" applyAlignment="false" applyProtection="false">
      <alignment horizontal="general" vertical="bottom" textRotation="0" wrapText="false" indent="0" shrinkToFit="false"/>
      <protection locked="true" hidden="false"/>
    </xf>
    <xf numFmtId="171" fontId="31" fillId="0" borderId="4" xfId="0" applyFont="true" applyBorder="true" applyAlignment="false" applyProtection="false">
      <alignment horizontal="general" vertical="bottom" textRotation="0" wrapText="false" indent="0" shrinkToFit="false"/>
      <protection locked="true" hidden="false"/>
    </xf>
    <xf numFmtId="171" fontId="32" fillId="0" borderId="4"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9">
    <dxf>
      <fill>
        <patternFill patternType="solid">
          <fgColor rgb="FF1F3864"/>
          <bgColor rgb="FF000000"/>
        </patternFill>
      </fill>
    </dxf>
    <dxf>
      <fill>
        <patternFill patternType="solid">
          <fgColor rgb="FFE8F9F0"/>
          <bgColor rgb="FF000000"/>
        </patternFill>
      </fill>
    </dxf>
    <dxf>
      <fill>
        <patternFill patternType="solid">
          <fgColor rgb="FFF8CBAD"/>
          <bgColor rgb="FF000000"/>
        </patternFill>
      </fill>
    </dxf>
    <dxf>
      <fill>
        <patternFill patternType="solid">
          <fgColor rgb="FFF9CBAD"/>
          <bgColor rgb="FF000000"/>
        </patternFill>
      </fill>
    </dxf>
    <dxf>
      <fill>
        <patternFill patternType="solid">
          <fgColor rgb="FFFBE3D6"/>
          <bgColor rgb="FF000000"/>
        </patternFill>
      </fill>
    </dxf>
    <dxf>
      <fill>
        <patternFill patternType="solid">
          <fgColor rgb="FFFBE4D5"/>
          <bgColor rgb="FF000000"/>
        </patternFill>
      </fill>
    </dxf>
    <dxf>
      <fill>
        <patternFill patternType="solid">
          <fgColor rgb="FFFDF2EC"/>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FFFFFF"/>
          <bgColor rgb="FF000000"/>
        </patternFill>
      </fill>
    </dxf>
    <dxf>
      <fill>
        <patternFill patternType="solid">
          <bgColor rgb="FF000000"/>
        </patternFill>
      </fill>
    </dxf>
    <dxf>
      <fill>
        <patternFill patternType="solid">
          <fgColor rgb="FF00B050"/>
          <bgColor rgb="FF000000"/>
        </patternFill>
      </fill>
    </dxf>
    <dxf>
      <fill>
        <patternFill patternType="solid">
          <fgColor rgb="FF8B8B8B"/>
          <bgColor rgb="FF000000"/>
        </patternFill>
      </fill>
    </dxf>
    <dxf>
      <fill>
        <patternFill patternType="solid">
          <fgColor rgb="FF949494"/>
          <bgColor rgb="FF000000"/>
        </patternFill>
      </fill>
    </dxf>
    <dxf>
      <fill>
        <patternFill patternType="solid">
          <fgColor rgb="FFA9D18E"/>
          <bgColor rgb="FF000000"/>
        </patternFill>
      </fill>
    </dxf>
    <dxf>
      <fill>
        <patternFill patternType="solid">
          <fgColor rgb="FFC0392B"/>
          <bgColor rgb="FF000000"/>
        </patternFill>
      </fill>
    </dxf>
    <dxf>
      <fill>
        <patternFill patternType="solid">
          <fgColor rgb="FFC6E0B4"/>
          <bgColor rgb="FF000000"/>
        </patternFill>
      </fill>
    </dxf>
    <dxf>
      <fill>
        <patternFill patternType="solid">
          <fgColor rgb="FFC7E1B4"/>
          <bgColor rgb="FF000000"/>
        </patternFill>
      </fill>
    </dxf>
    <dxf>
      <fill>
        <patternFill patternType="solid">
          <fgColor rgb="FFC9E5FF"/>
          <bgColor rgb="FF000000"/>
        </patternFill>
      </fill>
    </dxf>
    <dxf>
      <fill>
        <patternFill patternType="solid">
          <fgColor rgb="FFD9D9D9"/>
          <bgColor rgb="FF000000"/>
        </patternFill>
      </fill>
    </dxf>
    <dxf>
      <fill>
        <patternFill patternType="solid">
          <fgColor rgb="FFE4C8F2"/>
          <bgColor rgb="FF000000"/>
        </patternFill>
      </fill>
    </dxf>
    <dxf>
      <fill>
        <patternFill patternType="solid">
          <fgColor rgb="FFFF6E00"/>
          <bgColor rgb="FF000000"/>
        </patternFill>
      </fill>
    </dxf>
    <dxf>
      <fill>
        <patternFill>
          <bgColor rgb="FFE4C8F2"/>
        </patternFill>
      </fill>
    </dxf>
    <dxf>
      <fill>
        <patternFill>
          <bgColor rgb="FFF9CBAD"/>
        </patternFill>
      </fill>
    </dxf>
    <dxf>
      <fill>
        <patternFill>
          <bgColor rgb="FFFF6E00"/>
        </patternFill>
      </fill>
    </dxf>
    <dxf>
      <fill>
        <patternFill>
          <bgColor rgb="FFC7E1B4"/>
        </patternFill>
      </fill>
    </dxf>
    <dxf>
      <fill>
        <patternFill>
          <bgColor rgb="FFC9E5FF"/>
        </patternFill>
      </fill>
    </dxf>
    <dxf>
      <fill>
        <patternFill>
          <bgColor theme="0" tint="-0.25"/>
        </patternFill>
      </fill>
    </dxf>
    <dxf>
      <fill>
        <patternFill>
          <bgColor rgb="FF8B8B8B"/>
        </patternFill>
      </fill>
    </dxf>
    <dxf>
      <fill>
        <patternFill>
          <bgColor theme="5" tint="0.7998"/>
        </patternFill>
      </fill>
    </dxf>
    <dxf>
      <fill>
        <patternFill>
          <bgColor theme="0" tint="-0.5"/>
        </patternFill>
      </fill>
    </dxf>
    <dxf>
      <fill>
        <patternFill>
          <bgColor theme="0" tint="-0.15"/>
        </patternFill>
      </fill>
    </dxf>
    <dxf>
      <fill>
        <patternFill>
          <bgColor rgb="FF00B050"/>
        </patternFill>
      </fill>
    </dxf>
    <dxf>
      <fill>
        <patternFill>
          <bgColor rgb="FF0070C0"/>
        </patternFill>
      </fill>
    </dxf>
    <dxf>
      <fill>
        <patternFill>
          <bgColor rgb="FFFF0000"/>
        </patternFill>
      </fill>
    </dxf>
    <dxf>
      <fill>
        <patternFill>
          <bgColor rgb="FFC6E0B4"/>
        </patternFill>
      </fill>
    </dxf>
    <dxf>
      <fill>
        <patternFill>
          <bgColor rgb="FFBDD7EE"/>
        </patternFill>
      </fill>
    </dxf>
    <dxf>
      <fill>
        <patternFill>
          <bgColor rgb="FFF8CBAD"/>
        </patternFill>
      </fill>
    </dxf>
    <dxf>
      <fill>
        <patternFill>
          <bgColor rgb="FFF2F2F2"/>
        </patternFill>
      </fill>
    </dxf>
    <dxf>
      <fill>
        <patternFill>
          <bgColor rgb="FFE4C7F1"/>
        </patternFill>
      </fill>
    </dxf>
    <dxf>
      <fill>
        <patternFill>
          <bgColor rgb="FF949494"/>
        </patternFill>
      </fill>
    </dxf>
    <dxf>
      <fill>
        <patternFill>
          <bgColor theme="0" tint="-0.25"/>
        </patternFill>
      </fill>
    </dxf>
    <dxf>
      <fill>
        <patternFill>
          <bgColor theme="5" tint="0.7998"/>
        </patternFill>
      </fill>
    </dxf>
    <dxf>
      <fill>
        <patternFill>
          <bgColor rgb="FFFFE699"/>
        </patternFill>
      </fill>
    </dxf>
    <dxf>
      <fill>
        <patternFill>
          <bgColor rgb="FFE21A83"/>
        </patternFill>
      </fill>
    </dxf>
    <dxf>
      <fill>
        <patternFill>
          <bgColor rgb="FFBEF2D6"/>
        </patternFill>
      </fill>
    </dxf>
    <dxf>
      <fill>
        <patternFill>
          <bgColor rgb="FF0D0C4E"/>
        </patternFill>
      </fill>
    </dxf>
    <dxf>
      <fill>
        <patternFill>
          <bgColor rgb="FF1AE279"/>
        </patternFill>
      </fill>
    </dxf>
    <dxf>
      <fill>
        <patternFill>
          <bgColor rgb="FFDCDCF0"/>
        </patternFill>
      </fill>
    </dxf>
  </dxfs>
  <colors>
    <indexedColors>
      <rgbColor rgb="FF000000"/>
      <rgbColor rgb="FFFFFFFF"/>
      <rgbColor rgb="FFFF0000"/>
      <rgbColor rgb="FF47D45A"/>
      <rgbColor rgb="FF0000FF"/>
      <rgbColor rgb="FFC6E0B4"/>
      <rgbColor rgb="FFFF00FF"/>
      <rgbColor rgb="FFE7E7F2"/>
      <rgbColor rgb="FFC00000"/>
      <rgbColor rgb="FF008000"/>
      <rgbColor rgb="FF0D0B4E"/>
      <rgbColor rgb="FFDCDCF0"/>
      <rgbColor rgb="FF800080"/>
      <rgbColor rgb="FF00B050"/>
      <rgbColor rgb="FFBFBFBF"/>
      <rgbColor rgb="FF808080"/>
      <rgbColor rgb="FFE4C8F2"/>
      <rgbColor rgb="FFE21A83"/>
      <rgbColor rgb="FFFFF2CC"/>
      <rgbColor rgb="FFE8F9F0"/>
      <rgbColor rgb="FF660066"/>
      <rgbColor rgb="FFD9D9D9"/>
      <rgbColor rgb="FF0070C0"/>
      <rgbColor rgb="FFBDD7EE"/>
      <rgbColor rgb="FF0D0C4E"/>
      <rgbColor rgb="FFFF00FF"/>
      <rgbColor rgb="FFFBE4D5"/>
      <rgbColor rgb="FFF2F2F2"/>
      <rgbColor rgb="FF800080"/>
      <rgbColor rgb="FF800000"/>
      <rgbColor rgb="FF008080"/>
      <rgbColor rgb="FF0000FF"/>
      <rgbColor rgb="FFFBE3D6"/>
      <rgbColor rgb="FFC9E5FF"/>
      <rgbColor rgb="FFBEF2D6"/>
      <rgbColor rgb="FFFFE699"/>
      <rgbColor rgb="FFCCCCCC"/>
      <rgbColor rgb="FFF8CBAD"/>
      <rgbColor rgb="FFE4C7F1"/>
      <rgbColor rgb="FFF9CBAD"/>
      <rgbColor rgb="FFFDF2EC"/>
      <rgbColor rgb="FF1AE279"/>
      <rgbColor rgb="FFA9D18E"/>
      <rgbColor rgb="FFC7E1B4"/>
      <rgbColor rgb="FFC77D22"/>
      <rgbColor rgb="FFFF6E00"/>
      <rgbColor rgb="FF8B8B8B"/>
      <rgbColor rgb="FF949494"/>
      <rgbColor rgb="FF1F3864"/>
      <rgbColor rgb="FF0FA85E"/>
      <rgbColor rgb="FF003300"/>
      <rgbColor rgb="FF333300"/>
      <rgbColor rgb="FFC0392B"/>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0" activeCellId="0" sqref="A20"/>
    </sheetView>
  </sheetViews>
  <sheetFormatPr defaultColWidth="33.66796875" defaultRowHeight="30" zeroHeight="false" outlineLevelRow="0" outlineLevelCol="0"/>
  <sheetData>
    <row r="1" customFormat="false" ht="30" hidden="false" customHeight="true" outlineLevel="0" collapsed="false">
      <c r="A1" s="1" t="s">
        <v>0</v>
      </c>
      <c r="B1" s="1"/>
      <c r="C1" s="1"/>
      <c r="D1" s="1"/>
      <c r="E1" s="1"/>
      <c r="F1" s="1"/>
      <c r="G1" s="1"/>
      <c r="H1" s="1"/>
    </row>
    <row r="2" customFormat="false" ht="30" hidden="false" customHeight="true" outlineLevel="0" collapsed="false">
      <c r="A2" s="2" t="s">
        <v>1</v>
      </c>
      <c r="B2" s="2"/>
      <c r="C2" s="2"/>
      <c r="D2" s="2"/>
      <c r="E2" s="2"/>
      <c r="F2" s="2"/>
      <c r="G2" s="2"/>
      <c r="H2" s="2"/>
    </row>
    <row r="4" customFormat="false" ht="30" hidden="false" customHeight="true" outlineLevel="0" collapsed="false">
      <c r="A4" s="3" t="s">
        <v>2</v>
      </c>
      <c r="B4" s="3"/>
      <c r="C4" s="3"/>
      <c r="D4" s="3"/>
      <c r="E4" s="3"/>
      <c r="F4" s="3"/>
      <c r="G4" s="3"/>
      <c r="H4" s="3"/>
      <c r="J4" s="3" t="s">
        <v>3</v>
      </c>
      <c r="K4" s="3"/>
      <c r="L4" s="3"/>
      <c r="M4" s="3"/>
      <c r="N4" s="3"/>
      <c r="O4" s="3"/>
      <c r="P4" s="3"/>
      <c r="Q4" s="3"/>
    </row>
    <row r="5" customFormat="false" ht="30" hidden="false" customHeight="true" outlineLevel="0" collapsed="false">
      <c r="A5" s="2" t="s">
        <v>4</v>
      </c>
      <c r="B5" s="2"/>
      <c r="C5" s="2"/>
      <c r="D5" s="2"/>
      <c r="E5" s="2"/>
      <c r="F5" s="2"/>
      <c r="G5" s="2"/>
      <c r="H5" s="2"/>
      <c r="J5" s="4" t="s">
        <v>5</v>
      </c>
      <c r="K5" s="4" t="s">
        <v>6</v>
      </c>
      <c r="L5" s="5" t="s">
        <v>7</v>
      </c>
      <c r="M5" s="5"/>
      <c r="N5" s="5"/>
      <c r="O5" s="4" t="s">
        <v>8</v>
      </c>
    </row>
    <row r="6" customFormat="false" ht="30" hidden="false" customHeight="true" outlineLevel="0" collapsed="false">
      <c r="A6" s="2" t="s">
        <v>9</v>
      </c>
      <c r="B6" s="2"/>
      <c r="C6" s="2"/>
      <c r="D6" s="2"/>
      <c r="E6" s="2"/>
      <c r="F6" s="2"/>
      <c r="G6" s="2"/>
      <c r="H6" s="2"/>
      <c r="J6" s="6" t="s">
        <v>10</v>
      </c>
      <c r="K6" s="6" t="s">
        <v>11</v>
      </c>
      <c r="L6" s="6" t="s">
        <v>12</v>
      </c>
      <c r="M6" s="6"/>
      <c r="N6" s="6"/>
      <c r="O6" s="7"/>
    </row>
    <row r="7" customFormat="false" ht="30" hidden="false" customHeight="true" outlineLevel="0" collapsed="false">
      <c r="A7" s="2" t="s">
        <v>13</v>
      </c>
      <c r="B7" s="2"/>
      <c r="C7" s="2"/>
      <c r="D7" s="2"/>
      <c r="E7" s="2"/>
      <c r="F7" s="2"/>
      <c r="G7" s="2"/>
      <c r="H7" s="2"/>
      <c r="J7" s="8" t="s">
        <v>14</v>
      </c>
      <c r="K7" s="8" t="s">
        <v>15</v>
      </c>
      <c r="L7" s="8" t="s">
        <v>16</v>
      </c>
      <c r="M7" s="8"/>
      <c r="N7" s="8"/>
      <c r="O7" s="9"/>
    </row>
    <row r="8" customFormat="false" ht="30" hidden="false" customHeight="true" outlineLevel="0" collapsed="false">
      <c r="A8" s="2" t="s">
        <v>17</v>
      </c>
      <c r="B8" s="2"/>
      <c r="C8" s="2"/>
      <c r="D8" s="2"/>
      <c r="E8" s="2"/>
      <c r="F8" s="2"/>
      <c r="G8" s="2"/>
      <c r="H8" s="2"/>
      <c r="J8" s="6" t="s">
        <v>18</v>
      </c>
      <c r="K8" s="6" t="s">
        <v>19</v>
      </c>
      <c r="L8" s="6" t="s">
        <v>20</v>
      </c>
      <c r="M8" s="6"/>
      <c r="N8" s="6"/>
      <c r="O8" s="10"/>
    </row>
    <row r="9" customFormat="false" ht="30" hidden="false" customHeight="true" outlineLevel="0" collapsed="false">
      <c r="A9" s="2" t="s">
        <v>21</v>
      </c>
      <c r="B9" s="2"/>
      <c r="C9" s="2"/>
      <c r="D9" s="2"/>
      <c r="E9" s="2"/>
      <c r="F9" s="2"/>
      <c r="G9" s="2"/>
      <c r="H9" s="2"/>
      <c r="J9" s="8" t="s">
        <v>22</v>
      </c>
      <c r="K9" s="8" t="s">
        <v>23</v>
      </c>
      <c r="L9" s="8" t="s">
        <v>24</v>
      </c>
      <c r="M9" s="8"/>
      <c r="N9" s="8"/>
      <c r="O9" s="11"/>
    </row>
    <row r="10" customFormat="false" ht="30" hidden="false" customHeight="true" outlineLevel="0" collapsed="false">
      <c r="A10" s="2" t="s">
        <v>25</v>
      </c>
      <c r="B10" s="2"/>
      <c r="C10" s="2"/>
      <c r="D10" s="2"/>
      <c r="E10" s="2"/>
      <c r="F10" s="2"/>
      <c r="G10" s="2"/>
      <c r="H10" s="2"/>
    </row>
    <row r="11" customFormat="false" ht="30" hidden="false" customHeight="true" outlineLevel="0" collapsed="false">
      <c r="J11" s="3" t="s">
        <v>26</v>
      </c>
      <c r="K11" s="3"/>
      <c r="L11" s="3"/>
      <c r="M11" s="3"/>
      <c r="N11" s="3"/>
      <c r="O11" s="3"/>
      <c r="P11" s="3"/>
      <c r="Q11" s="3"/>
    </row>
    <row r="12" customFormat="false" ht="30" hidden="false" customHeight="true" outlineLevel="0" collapsed="false">
      <c r="A12" s="3" t="s">
        <v>27</v>
      </c>
      <c r="B12" s="3"/>
      <c r="C12" s="3"/>
      <c r="D12" s="3"/>
      <c r="E12" s="3"/>
      <c r="F12" s="3"/>
      <c r="G12" s="3"/>
      <c r="H12" s="3"/>
      <c r="J12" s="4" t="s">
        <v>28</v>
      </c>
      <c r="K12" s="4"/>
      <c r="L12" s="5" t="s">
        <v>29</v>
      </c>
      <c r="M12" s="5"/>
      <c r="N12" s="5"/>
      <c r="O12" s="5"/>
    </row>
    <row r="13" customFormat="false" ht="30" hidden="false" customHeight="true" outlineLevel="0" collapsed="false">
      <c r="A13" s="2" t="s">
        <v>30</v>
      </c>
      <c r="B13" s="2"/>
      <c r="C13" s="2"/>
      <c r="D13" s="2"/>
      <c r="E13" s="2"/>
      <c r="F13" s="2"/>
      <c r="G13" s="2"/>
      <c r="H13" s="2"/>
      <c r="J13" s="12"/>
      <c r="K13" s="13" t="s">
        <v>31</v>
      </c>
      <c r="L13" s="14" t="s">
        <v>32</v>
      </c>
      <c r="M13" s="14"/>
      <c r="N13" s="14"/>
      <c r="O13" s="14"/>
    </row>
    <row r="14" customFormat="false" ht="30" hidden="false" customHeight="true" outlineLevel="0" collapsed="false">
      <c r="A14" s="2" t="s">
        <v>33</v>
      </c>
      <c r="B14" s="2"/>
      <c r="C14" s="2"/>
      <c r="D14" s="2"/>
      <c r="E14" s="2"/>
      <c r="F14" s="2"/>
      <c r="G14" s="2"/>
      <c r="H14" s="2"/>
      <c r="J14" s="10"/>
      <c r="K14" s="15" t="s">
        <v>34</v>
      </c>
      <c r="L14" s="16" t="s">
        <v>35</v>
      </c>
      <c r="M14" s="16"/>
      <c r="N14" s="16"/>
      <c r="O14" s="16"/>
    </row>
    <row r="15" customFormat="false" ht="30" hidden="false" customHeight="true" outlineLevel="0" collapsed="false">
      <c r="A15" s="2" t="s">
        <v>36</v>
      </c>
      <c r="B15" s="2"/>
      <c r="C15" s="2"/>
      <c r="D15" s="2"/>
      <c r="E15" s="2"/>
      <c r="F15" s="2"/>
      <c r="G15" s="2"/>
      <c r="H15" s="2"/>
      <c r="J15" s="17"/>
      <c r="K15" s="13" t="s">
        <v>37</v>
      </c>
      <c r="L15" s="14" t="s">
        <v>38</v>
      </c>
      <c r="M15" s="14"/>
      <c r="N15" s="14"/>
      <c r="O15" s="14"/>
    </row>
    <row r="16" customFormat="false" ht="30" hidden="false" customHeight="true" outlineLevel="0" collapsed="false">
      <c r="J16" s="18"/>
      <c r="K16" s="15" t="s">
        <v>39</v>
      </c>
      <c r="L16" s="16" t="s">
        <v>40</v>
      </c>
      <c r="M16" s="16"/>
      <c r="N16" s="16"/>
      <c r="O16" s="16"/>
    </row>
    <row r="17" customFormat="false" ht="30" hidden="false" customHeight="true" outlineLevel="0" collapsed="false">
      <c r="J17" s="19"/>
      <c r="K17" s="13" t="s">
        <v>41</v>
      </c>
      <c r="L17" s="14" t="s">
        <v>42</v>
      </c>
      <c r="M17" s="14"/>
      <c r="N17" s="14"/>
      <c r="O17" s="14"/>
    </row>
    <row r="18" customFormat="false" ht="30" hidden="false" customHeight="true" outlineLevel="0" collapsed="false">
      <c r="J18" s="15"/>
      <c r="K18" s="15"/>
      <c r="L18" s="16"/>
      <c r="M18" s="16"/>
      <c r="N18" s="16"/>
      <c r="O18" s="16"/>
    </row>
    <row r="20" customFormat="false" ht="30" hidden="false" customHeight="true" outlineLevel="0" collapsed="false">
      <c r="A20" s="20" t="s">
        <v>43</v>
      </c>
    </row>
    <row r="36" customFormat="false" ht="30" hidden="false" customHeight="true" outlineLevel="0" collapsed="false">
      <c r="A36" s="3" t="s">
        <v>44</v>
      </c>
      <c r="B36" s="3"/>
      <c r="C36" s="3"/>
      <c r="D36" s="3"/>
      <c r="E36" s="3"/>
      <c r="F36" s="3"/>
      <c r="G36" s="3"/>
      <c r="H36" s="3"/>
    </row>
    <row r="37" customFormat="false" ht="30" hidden="false" customHeight="true" outlineLevel="0" collapsed="false">
      <c r="A37" s="11"/>
      <c r="B37" s="21"/>
      <c r="C37" s="22"/>
      <c r="D37" s="22"/>
      <c r="E37" s="22"/>
      <c r="F37" s="22"/>
    </row>
    <row r="38" customFormat="false" ht="30" hidden="false" customHeight="true" outlineLevel="0" collapsed="false">
      <c r="A38" s="11"/>
      <c r="B38" s="21"/>
      <c r="C38" s="22"/>
      <c r="D38" s="22"/>
      <c r="E38" s="22"/>
      <c r="F38" s="22"/>
    </row>
    <row r="39" customFormat="false" ht="30" hidden="false" customHeight="true" outlineLevel="0" collapsed="false">
      <c r="A39" s="11"/>
      <c r="B39" s="21"/>
      <c r="C39" s="22"/>
      <c r="D39" s="22"/>
      <c r="E39" s="22"/>
      <c r="F39" s="22"/>
    </row>
    <row r="40" customFormat="false" ht="30" hidden="false" customHeight="true" outlineLevel="0" collapsed="false">
      <c r="A40" s="11"/>
      <c r="B40" s="21"/>
      <c r="C40" s="22"/>
      <c r="D40" s="22"/>
      <c r="E40" s="22"/>
      <c r="F40" s="22"/>
    </row>
  </sheetData>
  <mergeCells count="32">
    <mergeCell ref="A1:H1"/>
    <mergeCell ref="A2:H2"/>
    <mergeCell ref="A4:H4"/>
    <mergeCell ref="J4:Q4"/>
    <mergeCell ref="A5:H5"/>
    <mergeCell ref="L5:N5"/>
    <mergeCell ref="A6:H6"/>
    <mergeCell ref="L6:N6"/>
    <mergeCell ref="A7:H7"/>
    <mergeCell ref="L7:N7"/>
    <mergeCell ref="A8:H8"/>
    <mergeCell ref="L8:N8"/>
    <mergeCell ref="A9:H9"/>
    <mergeCell ref="L9:N9"/>
    <mergeCell ref="A10:H10"/>
    <mergeCell ref="J11:Q11"/>
    <mergeCell ref="A12:H12"/>
    <mergeCell ref="L12:O12"/>
    <mergeCell ref="A13:H13"/>
    <mergeCell ref="L13:O13"/>
    <mergeCell ref="A14:H14"/>
    <mergeCell ref="L14:O14"/>
    <mergeCell ref="A15:H15"/>
    <mergeCell ref="L15:O15"/>
    <mergeCell ref="L16:O16"/>
    <mergeCell ref="L17:O17"/>
    <mergeCell ref="L18:O18"/>
    <mergeCell ref="A36:H36"/>
    <mergeCell ref="C37:F37"/>
    <mergeCell ref="C38:F38"/>
    <mergeCell ref="C39:F39"/>
    <mergeCell ref="C40:F4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X435"/>
  <sheetViews>
    <sheetView showFormulas="false" showGridLines="false" showRowColHeaders="true" showZeros="true" rightToLeft="false" tabSelected="true" showOutlineSymbols="true" defaultGridColor="true" view="normal" topLeftCell="A1" colorId="64" zoomScale="120" zoomScaleNormal="120" zoomScalePageLayoutView="100" workbookViewId="0">
      <pane xSplit="0" ySplit="8" topLeftCell="A20" activePane="bottomLeft" state="frozen"/>
      <selection pane="topLeft" activeCell="A1" activeCellId="0" sqref="A1"/>
      <selection pane="bottomLeft" activeCell="G437" activeCellId="0" sqref="G437"/>
    </sheetView>
  </sheetViews>
  <sheetFormatPr defaultColWidth="33.66796875" defaultRowHeight="15.75" zeroHeight="false" outlineLevelRow="1" outlineLevelCol="0"/>
  <cols>
    <col collapsed="false" customWidth="true" hidden="false" outlineLevel="0" max="1" min="1" style="23" width="6.33"/>
    <col collapsed="false" customWidth="true" hidden="false" outlineLevel="0" max="2" min="2" style="23" width="23.83"/>
    <col collapsed="false" customWidth="true" hidden="false" outlineLevel="0" max="3" min="3" style="23" width="11.83"/>
    <col collapsed="false" customWidth="true" hidden="false" outlineLevel="0" max="4" min="4" style="23" width="33.16"/>
    <col collapsed="false" customWidth="true" hidden="false" outlineLevel="0" max="5" min="5" style="24" width="21.5"/>
    <col collapsed="false" customWidth="true" hidden="false" outlineLevel="0" max="6" min="6" style="24" width="11.67"/>
    <col collapsed="false" customWidth="false" hidden="false" outlineLevel="0" max="7" min="7" style="24" width="33.67"/>
    <col collapsed="false" customWidth="true" hidden="false" outlineLevel="0" max="8" min="8" style="24" width="53.16"/>
    <col collapsed="false" customWidth="true" hidden="false" outlineLevel="0" max="9" min="9" style="24" width="19.16"/>
    <col collapsed="false" customWidth="true" hidden="false" outlineLevel="0" max="10" min="10" style="23" width="11.33"/>
    <col collapsed="false" customWidth="true" hidden="false" outlineLevel="0" max="12" min="11" style="25" width="13"/>
    <col collapsed="false" customWidth="true" hidden="false" outlineLevel="0" max="13" min="13" style="24" width="17.67"/>
    <col collapsed="false" customWidth="true" hidden="false" outlineLevel="0" max="14" min="14" style="26" width="61.16"/>
    <col collapsed="false" customWidth="false" hidden="false" outlineLevel="0" max="18" min="15" style="26" width="33.67"/>
    <col collapsed="false" customWidth="false" hidden="false" outlineLevel="0" max="16384" min="19" style="24" width="33.67"/>
  </cols>
  <sheetData>
    <row r="2" customFormat="false" ht="19.5" hidden="false" customHeight="true" outlineLevel="0" collapsed="false">
      <c r="A2" s="27" t="s">
        <v>45</v>
      </c>
      <c r="B2" s="27"/>
      <c r="C2" s="27"/>
      <c r="D2" s="27"/>
      <c r="E2" s="27"/>
      <c r="F2" s="27"/>
      <c r="G2" s="27"/>
      <c r="H2" s="27"/>
      <c r="I2" s="27"/>
      <c r="J2" s="27"/>
      <c r="K2" s="27"/>
      <c r="L2" s="28" t="s">
        <v>46</v>
      </c>
      <c r="N2" s="29" t="s">
        <v>31</v>
      </c>
      <c r="O2" s="30" t="s">
        <v>43</v>
      </c>
    </row>
    <row r="3" customFormat="false" ht="16.5" hidden="false" customHeight="true" outlineLevel="0" collapsed="false">
      <c r="A3" s="31"/>
      <c r="B3" s="31"/>
      <c r="C3" s="31"/>
      <c r="D3" s="31"/>
      <c r="E3" s="31"/>
      <c r="F3" s="31"/>
      <c r="G3" s="31"/>
      <c r="H3" s="31"/>
      <c r="I3" s="31"/>
      <c r="J3" s="31"/>
      <c r="K3" s="31"/>
      <c r="L3" s="32"/>
      <c r="N3" s="33" t="s">
        <v>37</v>
      </c>
      <c r="O3" s="34" t="s">
        <v>47</v>
      </c>
    </row>
    <row r="4" customFormat="false" ht="16.5" hidden="false" customHeight="true" outlineLevel="0" collapsed="false">
      <c r="A4" s="35" t="s">
        <v>48</v>
      </c>
      <c r="B4" s="35"/>
      <c r="C4" s="36" t="s">
        <v>49</v>
      </c>
      <c r="D4" s="36"/>
      <c r="E4" s="36"/>
      <c r="F4" s="37"/>
      <c r="H4" s="24" t="s">
        <v>50</v>
      </c>
      <c r="N4" s="38" t="s">
        <v>41</v>
      </c>
      <c r="O4" s="39" t="s">
        <v>19</v>
      </c>
    </row>
    <row r="5" customFormat="false" ht="16.5" hidden="false" customHeight="true" outlineLevel="0" collapsed="false">
      <c r="A5" s="35" t="s">
        <v>51</v>
      </c>
      <c r="B5" s="35"/>
      <c r="C5" s="36" t="s">
        <v>52</v>
      </c>
      <c r="D5" s="36"/>
      <c r="E5" s="36"/>
      <c r="F5" s="37"/>
      <c r="N5" s="40" t="s">
        <v>34</v>
      </c>
      <c r="O5" s="41" t="s">
        <v>53</v>
      </c>
    </row>
    <row r="6" customFormat="false" ht="16.5" hidden="false" customHeight="true" outlineLevel="0" collapsed="false">
      <c r="A6" s="35" t="s">
        <v>54</v>
      </c>
      <c r="B6" s="35"/>
      <c r="C6" s="36" t="s">
        <v>55</v>
      </c>
      <c r="D6" s="36"/>
      <c r="E6" s="36"/>
      <c r="F6" s="37"/>
      <c r="N6" s="42" t="s">
        <v>39</v>
      </c>
    </row>
    <row r="7" customFormat="false" ht="7.5" hidden="false" customHeight="true" outlineLevel="0" collapsed="false">
      <c r="A7" s="35" t="s">
        <v>56</v>
      </c>
      <c r="B7" s="35"/>
      <c r="C7" s="43" t="n">
        <v>46231</v>
      </c>
      <c r="D7" s="43"/>
      <c r="E7" s="43"/>
      <c r="F7" s="44"/>
    </row>
    <row r="8" customFormat="false" ht="15.75" hidden="false" customHeight="false" outlineLevel="0" collapsed="false">
      <c r="A8" s="45" t="s">
        <v>57</v>
      </c>
      <c r="B8" s="45" t="s">
        <v>58</v>
      </c>
      <c r="C8" s="45" t="s">
        <v>59</v>
      </c>
      <c r="D8" s="45" t="s">
        <v>60</v>
      </c>
      <c r="E8" s="45" t="s">
        <v>61</v>
      </c>
      <c r="F8" s="45" t="s">
        <v>62</v>
      </c>
      <c r="G8" s="45" t="s">
        <v>63</v>
      </c>
      <c r="H8" s="45" t="s">
        <v>64</v>
      </c>
      <c r="I8" s="45" t="s">
        <v>65</v>
      </c>
      <c r="J8" s="45" t="s">
        <v>66</v>
      </c>
      <c r="K8" s="46" t="s">
        <v>67</v>
      </c>
      <c r="L8" s="46" t="s">
        <v>68</v>
      </c>
      <c r="M8" s="47" t="s">
        <v>28</v>
      </c>
      <c r="N8" s="45" t="s">
        <v>69</v>
      </c>
      <c r="O8" s="45" t="s">
        <v>70</v>
      </c>
      <c r="P8" s="45" t="s">
        <v>71</v>
      </c>
      <c r="Q8" s="45" t="s">
        <v>72</v>
      </c>
      <c r="R8" s="45" t="s">
        <v>73</v>
      </c>
    </row>
    <row r="9" customFormat="false" ht="27.75" hidden="false" customHeight="true" outlineLevel="0" collapsed="false">
      <c r="A9" s="48" t="n">
        <v>1</v>
      </c>
      <c r="B9" s="48" t="s">
        <v>11</v>
      </c>
      <c r="C9" s="48" t="s">
        <v>52</v>
      </c>
      <c r="D9" s="49" t="s">
        <v>74</v>
      </c>
      <c r="E9" s="50"/>
      <c r="F9" s="48" t="s">
        <v>75</v>
      </c>
      <c r="G9" s="51" t="s">
        <v>76</v>
      </c>
      <c r="H9" s="50"/>
      <c r="I9" s="50" t="s">
        <v>77</v>
      </c>
      <c r="J9" s="48"/>
      <c r="K9" s="52"/>
      <c r="L9" s="52" t="n">
        <v>46296</v>
      </c>
      <c r="M9" s="53" t="s">
        <v>37</v>
      </c>
      <c r="N9" s="50" t="s">
        <v>78</v>
      </c>
      <c r="O9" s="50"/>
      <c r="P9" s="50"/>
      <c r="Q9" s="50"/>
      <c r="R9" s="50"/>
    </row>
    <row r="10" customFormat="false" ht="27.75" hidden="false" customHeight="true" outlineLevel="0" collapsed="false">
      <c r="A10" s="48" t="n">
        <v>1</v>
      </c>
      <c r="B10" s="48" t="s">
        <v>11</v>
      </c>
      <c r="C10" s="48" t="s">
        <v>52</v>
      </c>
      <c r="D10" s="49" t="s">
        <v>74</v>
      </c>
      <c r="E10" s="50"/>
      <c r="F10" s="48" t="s">
        <v>79</v>
      </c>
      <c r="G10" s="51" t="s">
        <v>80</v>
      </c>
      <c r="H10" s="50"/>
      <c r="I10" s="50" t="s">
        <v>77</v>
      </c>
      <c r="J10" s="48"/>
      <c r="K10" s="52"/>
      <c r="L10" s="52" t="n">
        <v>46399</v>
      </c>
      <c r="M10" s="54" t="s">
        <v>34</v>
      </c>
      <c r="N10" s="50"/>
      <c r="O10" s="50"/>
      <c r="P10" s="50"/>
      <c r="Q10" s="50"/>
      <c r="R10" s="50"/>
    </row>
    <row r="11" customFormat="false" ht="27.75" hidden="false" customHeight="true" outlineLevel="0" collapsed="false">
      <c r="A11" s="48" t="n">
        <v>1</v>
      </c>
      <c r="B11" s="48" t="s">
        <v>11</v>
      </c>
      <c r="C11" s="48" t="s">
        <v>52</v>
      </c>
      <c r="D11" s="49" t="s">
        <v>74</v>
      </c>
      <c r="E11" s="50"/>
      <c r="F11" s="48" t="s">
        <v>81</v>
      </c>
      <c r="G11" s="51" t="s">
        <v>82</v>
      </c>
      <c r="H11" s="50"/>
      <c r="I11" s="50" t="s">
        <v>77</v>
      </c>
      <c r="J11" s="48"/>
      <c r="K11" s="52"/>
      <c r="L11" s="52" t="n">
        <v>46296</v>
      </c>
      <c r="M11" s="54" t="s">
        <v>34</v>
      </c>
      <c r="N11" s="50"/>
      <c r="O11" s="50"/>
      <c r="P11" s="50"/>
      <c r="Q11" s="50"/>
      <c r="R11" s="50"/>
    </row>
    <row r="12" customFormat="false" ht="15.75" hidden="false" customHeight="false" outlineLevel="0" collapsed="false">
      <c r="A12" s="48" t="n">
        <v>1</v>
      </c>
      <c r="B12" s="48" t="s">
        <v>11</v>
      </c>
      <c r="C12" s="48" t="s">
        <v>52</v>
      </c>
      <c r="D12" s="49" t="s">
        <v>74</v>
      </c>
      <c r="E12" s="50"/>
      <c r="F12" s="48" t="s">
        <v>83</v>
      </c>
      <c r="G12" s="51" t="s">
        <v>84</v>
      </c>
      <c r="H12" s="50"/>
      <c r="I12" s="50" t="s">
        <v>77</v>
      </c>
      <c r="J12" s="48"/>
      <c r="K12" s="52"/>
      <c r="L12" s="52" t="n">
        <v>46296</v>
      </c>
      <c r="M12" s="54" t="s">
        <v>34</v>
      </c>
      <c r="N12" s="50"/>
      <c r="O12" s="50"/>
      <c r="P12" s="50"/>
      <c r="Q12" s="50"/>
      <c r="R12" s="50"/>
    </row>
    <row r="13" customFormat="false" ht="15.75" hidden="false" customHeight="false" outlineLevel="0" collapsed="false">
      <c r="A13" s="48" t="n">
        <v>1</v>
      </c>
      <c r="B13" s="48" t="s">
        <v>11</v>
      </c>
      <c r="C13" s="48" t="s">
        <v>52</v>
      </c>
      <c r="D13" s="49" t="s">
        <v>74</v>
      </c>
      <c r="E13" s="50"/>
      <c r="F13" s="48" t="s">
        <v>85</v>
      </c>
      <c r="G13" s="51" t="s">
        <v>86</v>
      </c>
      <c r="H13" s="55"/>
      <c r="I13" s="50" t="s">
        <v>77</v>
      </c>
      <c r="J13" s="55"/>
      <c r="K13" s="52"/>
      <c r="L13" s="52"/>
      <c r="M13" s="56" t="s">
        <v>41</v>
      </c>
      <c r="N13" s="55"/>
      <c r="O13" s="55"/>
      <c r="P13" s="55"/>
      <c r="Q13" s="55"/>
      <c r="R13" s="55"/>
    </row>
    <row r="14" customFormat="false" ht="15.75" hidden="false" customHeight="false" outlineLevel="0" collapsed="false">
      <c r="A14" s="48" t="n">
        <v>1</v>
      </c>
      <c r="B14" s="48" t="s">
        <v>11</v>
      </c>
      <c r="C14" s="48" t="s">
        <v>52</v>
      </c>
      <c r="D14" s="49" t="s">
        <v>74</v>
      </c>
      <c r="E14" s="50"/>
      <c r="F14" s="48" t="s">
        <v>85</v>
      </c>
      <c r="G14" s="51" t="s">
        <v>87</v>
      </c>
      <c r="H14" s="50"/>
      <c r="I14" s="50" t="s">
        <v>77</v>
      </c>
      <c r="J14" s="48"/>
      <c r="K14" s="52"/>
      <c r="L14" s="52"/>
      <c r="M14" s="56" t="s">
        <v>41</v>
      </c>
      <c r="N14" s="50"/>
      <c r="O14" s="50"/>
      <c r="P14" s="50"/>
      <c r="Q14" s="50"/>
      <c r="R14" s="50"/>
    </row>
    <row r="15" customFormat="false" ht="15.75" hidden="false" customHeight="false" outlineLevel="0" collapsed="false">
      <c r="A15" s="48" t="n">
        <v>1</v>
      </c>
      <c r="B15" s="48" t="s">
        <v>11</v>
      </c>
      <c r="C15" s="48" t="s">
        <v>52</v>
      </c>
      <c r="D15" s="49" t="s">
        <v>74</v>
      </c>
      <c r="E15" s="50"/>
      <c r="F15" s="48" t="s">
        <v>85</v>
      </c>
      <c r="G15" s="51" t="s">
        <v>88</v>
      </c>
      <c r="H15" s="50"/>
      <c r="I15" s="50" t="s">
        <v>77</v>
      </c>
      <c r="J15" s="48"/>
      <c r="K15" s="52"/>
      <c r="L15" s="52"/>
      <c r="M15" s="56" t="s">
        <v>41</v>
      </c>
      <c r="N15" s="50"/>
      <c r="O15" s="50"/>
      <c r="P15" s="50"/>
      <c r="Q15" s="50"/>
      <c r="R15" s="50"/>
    </row>
    <row r="16" customFormat="false" ht="15.75" hidden="false" customHeight="false" outlineLevel="0" collapsed="false">
      <c r="A16" s="48" t="n">
        <v>1</v>
      </c>
      <c r="B16" s="48" t="s">
        <v>11</v>
      </c>
      <c r="C16" s="48" t="s">
        <v>52</v>
      </c>
      <c r="D16" s="49" t="s">
        <v>74</v>
      </c>
      <c r="E16" s="50"/>
      <c r="F16" s="48" t="s">
        <v>85</v>
      </c>
      <c r="G16" s="51" t="s">
        <v>89</v>
      </c>
      <c r="H16" s="50"/>
      <c r="I16" s="50"/>
      <c r="J16" s="48"/>
      <c r="K16" s="52"/>
      <c r="L16" s="52"/>
      <c r="M16" s="56" t="s">
        <v>41</v>
      </c>
      <c r="N16" s="50"/>
      <c r="O16" s="50"/>
      <c r="P16" s="50"/>
      <c r="Q16" s="50"/>
      <c r="R16" s="50"/>
    </row>
    <row r="17" customFormat="false" ht="27.75" hidden="false" customHeight="true" outlineLevel="0" collapsed="false">
      <c r="A17" s="49" t="n">
        <v>1</v>
      </c>
      <c r="B17" s="49" t="s">
        <v>11</v>
      </c>
      <c r="C17" s="49" t="s">
        <v>52</v>
      </c>
      <c r="D17" s="49" t="s">
        <v>74</v>
      </c>
      <c r="E17" s="50"/>
      <c r="F17" s="48" t="s">
        <v>85</v>
      </c>
      <c r="G17" s="57" t="s">
        <v>90</v>
      </c>
      <c r="H17" s="50" t="s">
        <v>91</v>
      </c>
      <c r="I17" s="50" t="s">
        <v>77</v>
      </c>
      <c r="J17" s="48"/>
      <c r="K17" s="52"/>
      <c r="L17" s="52" t="n">
        <v>46266</v>
      </c>
      <c r="M17" s="58" t="s">
        <v>39</v>
      </c>
      <c r="N17" s="50" t="s">
        <v>92</v>
      </c>
      <c r="O17" s="50"/>
      <c r="P17" s="50"/>
      <c r="Q17" s="50"/>
      <c r="R17" s="50"/>
    </row>
    <row r="18" customFormat="false" ht="27.75" hidden="false" customHeight="true" outlineLevel="0" collapsed="false">
      <c r="A18" s="49" t="n">
        <v>1</v>
      </c>
      <c r="B18" s="49" t="s">
        <v>11</v>
      </c>
      <c r="C18" s="49" t="s">
        <v>52</v>
      </c>
      <c r="D18" s="49" t="s">
        <v>74</v>
      </c>
      <c r="E18" s="50"/>
      <c r="F18" s="48" t="s">
        <v>85</v>
      </c>
      <c r="G18" s="57" t="s">
        <v>93</v>
      </c>
      <c r="H18" s="50" t="s">
        <v>94</v>
      </c>
      <c r="I18" s="50" t="s">
        <v>77</v>
      </c>
      <c r="J18" s="48"/>
      <c r="K18" s="52"/>
      <c r="L18" s="52" t="n">
        <v>46249</v>
      </c>
      <c r="M18" s="58" t="s">
        <v>39</v>
      </c>
      <c r="N18" s="50" t="s">
        <v>92</v>
      </c>
      <c r="O18" s="50"/>
      <c r="P18" s="50"/>
      <c r="Q18" s="50"/>
      <c r="R18" s="50"/>
    </row>
    <row r="19" customFormat="false" ht="27.75" hidden="false" customHeight="true" outlineLevel="0" collapsed="false">
      <c r="A19" s="49" t="n">
        <v>1</v>
      </c>
      <c r="B19" s="49" t="s">
        <v>11</v>
      </c>
      <c r="C19" s="49" t="s">
        <v>52</v>
      </c>
      <c r="D19" s="49" t="s">
        <v>74</v>
      </c>
      <c r="E19" s="50"/>
      <c r="F19" s="48" t="s">
        <v>85</v>
      </c>
      <c r="G19" s="57" t="s">
        <v>95</v>
      </c>
      <c r="H19" s="50" t="s">
        <v>96</v>
      </c>
      <c r="I19" s="50" t="s">
        <v>77</v>
      </c>
      <c r="J19" s="48"/>
      <c r="K19" s="52"/>
      <c r="L19" s="52" t="n">
        <v>46235</v>
      </c>
      <c r="M19" s="58" t="s">
        <v>39</v>
      </c>
      <c r="N19" s="50" t="s">
        <v>92</v>
      </c>
      <c r="O19" s="50"/>
      <c r="P19" s="50"/>
      <c r="Q19" s="50"/>
      <c r="R19" s="50"/>
    </row>
    <row r="20" customFormat="false" ht="30" hidden="false" customHeight="true" outlineLevel="0" collapsed="false">
      <c r="A20" s="59" t="n">
        <v>2</v>
      </c>
      <c r="B20" s="59" t="s">
        <v>97</v>
      </c>
      <c r="C20" s="59" t="s">
        <v>52</v>
      </c>
      <c r="D20" s="59" t="s">
        <v>74</v>
      </c>
      <c r="E20" s="60"/>
      <c r="F20" s="60" t="s">
        <v>98</v>
      </c>
      <c r="G20" s="61" t="s">
        <v>99</v>
      </c>
      <c r="H20" s="61" t="s">
        <v>100</v>
      </c>
      <c r="I20" s="60" t="s">
        <v>101</v>
      </c>
      <c r="J20" s="62"/>
      <c r="K20" s="63"/>
      <c r="L20" s="63"/>
      <c r="M20" s="64" t="s">
        <v>102</v>
      </c>
      <c r="N20" s="61"/>
      <c r="O20" s="61"/>
      <c r="P20" s="61"/>
      <c r="Q20" s="61"/>
      <c r="R20" s="61"/>
    </row>
    <row r="21" customFormat="false" ht="30" hidden="false" customHeight="true" outlineLevel="0" collapsed="false">
      <c r="A21" s="59" t="n">
        <v>2</v>
      </c>
      <c r="B21" s="59" t="s">
        <v>97</v>
      </c>
      <c r="C21" s="59" t="s">
        <v>52</v>
      </c>
      <c r="D21" s="59" t="s">
        <v>74</v>
      </c>
      <c r="E21" s="60"/>
      <c r="F21" s="60" t="s">
        <v>103</v>
      </c>
      <c r="G21" s="61" t="s">
        <v>104</v>
      </c>
      <c r="H21" s="61" t="s">
        <v>105</v>
      </c>
      <c r="I21" s="60" t="s">
        <v>101</v>
      </c>
      <c r="J21" s="62"/>
      <c r="K21" s="63"/>
      <c r="L21" s="63"/>
      <c r="M21" s="64" t="s">
        <v>102</v>
      </c>
      <c r="N21" s="61"/>
      <c r="O21" s="61"/>
      <c r="P21" s="61"/>
      <c r="Q21" s="61"/>
      <c r="R21" s="61"/>
    </row>
    <row r="22" customFormat="false" ht="30" hidden="false" customHeight="true" outlineLevel="0" collapsed="false">
      <c r="A22" s="59" t="n">
        <v>2</v>
      </c>
      <c r="B22" s="59" t="s">
        <v>97</v>
      </c>
      <c r="C22" s="59" t="s">
        <v>52</v>
      </c>
      <c r="D22" s="59" t="s">
        <v>74</v>
      </c>
      <c r="E22" s="60"/>
      <c r="F22" s="60" t="s">
        <v>106</v>
      </c>
      <c r="G22" s="61" t="s">
        <v>107</v>
      </c>
      <c r="H22" s="61" t="s">
        <v>108</v>
      </c>
      <c r="I22" s="60" t="s">
        <v>101</v>
      </c>
      <c r="J22" s="62"/>
      <c r="K22" s="63"/>
      <c r="L22" s="63"/>
      <c r="M22" s="64" t="s">
        <v>102</v>
      </c>
      <c r="N22" s="61"/>
      <c r="O22" s="61"/>
      <c r="P22" s="61"/>
      <c r="Q22" s="61"/>
      <c r="R22" s="61"/>
    </row>
    <row r="23" customFormat="false" ht="30" hidden="false" customHeight="true" outlineLevel="0" collapsed="false">
      <c r="A23" s="59" t="n">
        <v>2</v>
      </c>
      <c r="B23" s="59" t="s">
        <v>97</v>
      </c>
      <c r="C23" s="59" t="s">
        <v>52</v>
      </c>
      <c r="D23" s="59" t="s">
        <v>74</v>
      </c>
      <c r="E23" s="60"/>
      <c r="F23" s="60" t="s">
        <v>109</v>
      </c>
      <c r="G23" s="61" t="s">
        <v>110</v>
      </c>
      <c r="H23" s="61" t="s">
        <v>111</v>
      </c>
      <c r="I23" s="60" t="s">
        <v>101</v>
      </c>
      <c r="J23" s="62"/>
      <c r="K23" s="63"/>
      <c r="L23" s="63"/>
      <c r="M23" s="64" t="s">
        <v>102</v>
      </c>
      <c r="N23" s="61"/>
      <c r="O23" s="61"/>
      <c r="P23" s="61"/>
      <c r="Q23" s="61"/>
      <c r="R23" s="61"/>
    </row>
    <row r="24" customFormat="false" ht="30" hidden="false" customHeight="true" outlineLevel="0" collapsed="false">
      <c r="A24" s="59" t="n">
        <v>2</v>
      </c>
      <c r="B24" s="59" t="s">
        <v>97</v>
      </c>
      <c r="C24" s="59" t="s">
        <v>52</v>
      </c>
      <c r="D24" s="59" t="s">
        <v>74</v>
      </c>
      <c r="E24" s="60"/>
      <c r="F24" s="60" t="s">
        <v>112</v>
      </c>
      <c r="G24" s="61" t="s">
        <v>113</v>
      </c>
      <c r="H24" s="61" t="s">
        <v>114</v>
      </c>
      <c r="I24" s="60" t="s">
        <v>101</v>
      </c>
      <c r="J24" s="62"/>
      <c r="K24" s="63"/>
      <c r="L24" s="63"/>
      <c r="M24" s="64" t="s">
        <v>102</v>
      </c>
      <c r="N24" s="61"/>
      <c r="O24" s="61"/>
      <c r="P24" s="61"/>
      <c r="Q24" s="61"/>
      <c r="R24" s="61"/>
    </row>
    <row r="25" customFormat="false" ht="30" hidden="false" customHeight="true" outlineLevel="0" collapsed="false">
      <c r="A25" s="59" t="n">
        <v>2</v>
      </c>
      <c r="B25" s="59" t="s">
        <v>97</v>
      </c>
      <c r="C25" s="59" t="s">
        <v>52</v>
      </c>
      <c r="D25" s="59" t="s">
        <v>74</v>
      </c>
      <c r="E25" s="60"/>
      <c r="F25" s="60" t="s">
        <v>115</v>
      </c>
      <c r="G25" s="61" t="s">
        <v>116</v>
      </c>
      <c r="H25" s="61" t="s">
        <v>117</v>
      </c>
      <c r="I25" s="60" t="s">
        <v>101</v>
      </c>
      <c r="J25" s="62"/>
      <c r="K25" s="63"/>
      <c r="L25" s="63"/>
      <c r="M25" s="64" t="s">
        <v>102</v>
      </c>
      <c r="N25" s="61"/>
      <c r="O25" s="61"/>
      <c r="P25" s="61"/>
      <c r="Q25" s="61"/>
      <c r="R25" s="61"/>
    </row>
    <row r="26" customFormat="false" ht="30" hidden="false" customHeight="true" outlineLevel="0" collapsed="false">
      <c r="A26" s="59" t="n">
        <v>2</v>
      </c>
      <c r="B26" s="59" t="s">
        <v>97</v>
      </c>
      <c r="C26" s="59" t="s">
        <v>52</v>
      </c>
      <c r="D26" s="59" t="s">
        <v>74</v>
      </c>
      <c r="E26" s="60"/>
      <c r="F26" s="60" t="s">
        <v>118</v>
      </c>
      <c r="G26" s="61" t="s">
        <v>119</v>
      </c>
      <c r="H26" s="61" t="s">
        <v>120</v>
      </c>
      <c r="I26" s="60" t="s">
        <v>101</v>
      </c>
      <c r="J26" s="62"/>
      <c r="K26" s="63"/>
      <c r="L26" s="63"/>
      <c r="M26" s="64" t="s">
        <v>102</v>
      </c>
      <c r="N26" s="61"/>
      <c r="O26" s="61"/>
      <c r="P26" s="61"/>
      <c r="Q26" s="61"/>
      <c r="R26" s="61"/>
    </row>
    <row r="27" customFormat="false" ht="30" hidden="false" customHeight="true" outlineLevel="0" collapsed="false">
      <c r="A27" s="59" t="n">
        <v>2</v>
      </c>
      <c r="B27" s="59" t="s">
        <v>97</v>
      </c>
      <c r="C27" s="59" t="s">
        <v>52</v>
      </c>
      <c r="D27" s="59" t="s">
        <v>74</v>
      </c>
      <c r="E27" s="60"/>
      <c r="F27" s="60" t="s">
        <v>121</v>
      </c>
      <c r="G27" s="61" t="s">
        <v>122</v>
      </c>
      <c r="H27" s="61" t="s">
        <v>123</v>
      </c>
      <c r="I27" s="60" t="s">
        <v>101</v>
      </c>
      <c r="J27" s="62"/>
      <c r="K27" s="63"/>
      <c r="L27" s="63"/>
      <c r="M27" s="64" t="s">
        <v>102</v>
      </c>
      <c r="N27" s="61"/>
      <c r="O27" s="61"/>
      <c r="P27" s="61"/>
      <c r="Q27" s="61"/>
      <c r="R27" s="61"/>
    </row>
    <row r="28" customFormat="false" ht="27.75" hidden="false" customHeight="true" outlineLevel="0" collapsed="false">
      <c r="A28" s="48" t="n">
        <v>1</v>
      </c>
      <c r="B28" s="48" t="s">
        <v>11</v>
      </c>
      <c r="C28" s="48" t="s">
        <v>52</v>
      </c>
      <c r="D28" s="49" t="s">
        <v>124</v>
      </c>
      <c r="E28" s="50"/>
      <c r="F28" s="48" t="s">
        <v>85</v>
      </c>
      <c r="G28" s="51" t="s">
        <v>125</v>
      </c>
      <c r="H28" s="50"/>
      <c r="I28" s="50" t="s">
        <v>77</v>
      </c>
      <c r="J28" s="48"/>
      <c r="K28" s="52"/>
      <c r="L28" s="52"/>
      <c r="M28" s="56" t="s">
        <v>41</v>
      </c>
      <c r="N28" s="65" t="s">
        <v>126</v>
      </c>
      <c r="O28" s="65"/>
      <c r="P28" s="65"/>
      <c r="Q28" s="65"/>
      <c r="R28" s="65"/>
    </row>
    <row r="29" customFormat="false" ht="15.75" hidden="false" customHeight="false" outlineLevel="0" collapsed="false">
      <c r="A29" s="48" t="n">
        <v>1</v>
      </c>
      <c r="B29" s="48" t="s">
        <v>11</v>
      </c>
      <c r="C29" s="48" t="s">
        <v>52</v>
      </c>
      <c r="D29" s="49" t="s">
        <v>124</v>
      </c>
      <c r="E29" s="50"/>
      <c r="F29" s="48" t="s">
        <v>85</v>
      </c>
      <c r="G29" s="51" t="s">
        <v>127</v>
      </c>
      <c r="H29" s="50"/>
      <c r="I29" s="50" t="s">
        <v>77</v>
      </c>
      <c r="J29" s="48"/>
      <c r="K29" s="52"/>
      <c r="L29" s="52"/>
      <c r="M29" s="56" t="s">
        <v>41</v>
      </c>
      <c r="N29" s="50"/>
      <c r="O29" s="50"/>
      <c r="P29" s="50"/>
      <c r="Q29" s="50"/>
      <c r="R29" s="50"/>
    </row>
    <row r="30" customFormat="false" ht="15.75" hidden="false" customHeight="false" outlineLevel="0" collapsed="false">
      <c r="A30" s="48" t="n">
        <v>1</v>
      </c>
      <c r="B30" s="48" t="s">
        <v>11</v>
      </c>
      <c r="C30" s="48" t="s">
        <v>52</v>
      </c>
      <c r="D30" s="49" t="s">
        <v>124</v>
      </c>
      <c r="E30" s="50"/>
      <c r="F30" s="48" t="s">
        <v>85</v>
      </c>
      <c r="G30" s="51" t="s">
        <v>128</v>
      </c>
      <c r="H30" s="50"/>
      <c r="I30" s="50" t="s">
        <v>77</v>
      </c>
      <c r="J30" s="48"/>
      <c r="K30" s="52"/>
      <c r="L30" s="52" t="s">
        <v>129</v>
      </c>
      <c r="M30" s="56" t="s">
        <v>41</v>
      </c>
      <c r="N30" s="50"/>
      <c r="O30" s="50"/>
      <c r="P30" s="50"/>
      <c r="Q30" s="50"/>
      <c r="R30" s="50"/>
    </row>
    <row r="31" customFormat="false" ht="15.75" hidden="false" customHeight="false" outlineLevel="0" collapsed="false">
      <c r="A31" s="48" t="n">
        <v>1</v>
      </c>
      <c r="B31" s="48" t="s">
        <v>11</v>
      </c>
      <c r="C31" s="48" t="s">
        <v>52</v>
      </c>
      <c r="D31" s="49" t="s">
        <v>124</v>
      </c>
      <c r="E31" s="50"/>
      <c r="F31" s="48" t="s">
        <v>85</v>
      </c>
      <c r="G31" s="51" t="s">
        <v>130</v>
      </c>
      <c r="H31" s="50"/>
      <c r="I31" s="50" t="s">
        <v>77</v>
      </c>
      <c r="J31" s="48"/>
      <c r="K31" s="52"/>
      <c r="L31" s="52"/>
      <c r="M31" s="56" t="s">
        <v>41</v>
      </c>
      <c r="N31" s="50"/>
      <c r="O31" s="50"/>
      <c r="P31" s="50"/>
      <c r="Q31" s="50"/>
      <c r="R31" s="50"/>
    </row>
    <row r="32" customFormat="false" ht="27.75" hidden="false" customHeight="true" outlineLevel="0" collapsed="false">
      <c r="A32" s="49" t="n">
        <v>1</v>
      </c>
      <c r="B32" s="49" t="s">
        <v>11</v>
      </c>
      <c r="C32" s="49" t="s">
        <v>52</v>
      </c>
      <c r="D32" s="49" t="s">
        <v>124</v>
      </c>
      <c r="E32" s="50"/>
      <c r="F32" s="48" t="s">
        <v>85</v>
      </c>
      <c r="G32" s="57" t="s">
        <v>131</v>
      </c>
      <c r="H32" s="50" t="s">
        <v>132</v>
      </c>
      <c r="I32" s="50" t="s">
        <v>77</v>
      </c>
      <c r="J32" s="48"/>
      <c r="K32" s="52"/>
      <c r="L32" s="52" t="n">
        <v>46266</v>
      </c>
      <c r="M32" s="58" t="s">
        <v>39</v>
      </c>
      <c r="N32" s="50" t="s">
        <v>92</v>
      </c>
      <c r="O32" s="50"/>
      <c r="P32" s="50"/>
      <c r="Q32" s="50"/>
      <c r="R32" s="50"/>
    </row>
    <row r="33" customFormat="false" ht="15.75" hidden="false" customHeight="false" outlineLevel="0" collapsed="false">
      <c r="A33" s="49" t="n">
        <v>1</v>
      </c>
      <c r="B33" s="49" t="s">
        <v>11</v>
      </c>
      <c r="C33" s="49" t="s">
        <v>52</v>
      </c>
      <c r="D33" s="49" t="s">
        <v>124</v>
      </c>
      <c r="E33" s="50"/>
      <c r="F33" s="48" t="s">
        <v>85</v>
      </c>
      <c r="G33" s="57" t="s">
        <v>133</v>
      </c>
      <c r="H33" s="50" t="s">
        <v>134</v>
      </c>
      <c r="I33" s="50" t="s">
        <v>77</v>
      </c>
      <c r="J33" s="48"/>
      <c r="K33" s="52"/>
      <c r="L33" s="52" t="n">
        <v>46280</v>
      </c>
      <c r="M33" s="58" t="s">
        <v>39</v>
      </c>
      <c r="N33" s="50" t="s">
        <v>92</v>
      </c>
      <c r="O33" s="50"/>
      <c r="P33" s="50"/>
      <c r="Q33" s="50"/>
      <c r="R33" s="50"/>
    </row>
    <row r="34" customFormat="false" ht="27.75" hidden="false" customHeight="true" outlineLevel="0" collapsed="false">
      <c r="A34" s="49" t="n">
        <v>1</v>
      </c>
      <c r="B34" s="49" t="s">
        <v>11</v>
      </c>
      <c r="C34" s="49" t="s">
        <v>52</v>
      </c>
      <c r="D34" s="49" t="s">
        <v>124</v>
      </c>
      <c r="E34" s="50"/>
      <c r="F34" s="48" t="s">
        <v>85</v>
      </c>
      <c r="G34" s="57" t="s">
        <v>135</v>
      </c>
      <c r="H34" s="50" t="s">
        <v>136</v>
      </c>
      <c r="I34" s="50" t="s">
        <v>77</v>
      </c>
      <c r="J34" s="48"/>
      <c r="K34" s="52"/>
      <c r="L34" s="52" t="n">
        <v>46296</v>
      </c>
      <c r="M34" s="58" t="s">
        <v>39</v>
      </c>
      <c r="N34" s="50" t="s">
        <v>92</v>
      </c>
      <c r="O34" s="50"/>
      <c r="P34" s="50"/>
      <c r="Q34" s="50"/>
      <c r="R34" s="50"/>
    </row>
    <row r="35" customFormat="false" ht="27.75" hidden="false" customHeight="true" outlineLevel="0" collapsed="false">
      <c r="A35" s="49" t="n">
        <v>1</v>
      </c>
      <c r="B35" s="49" t="s">
        <v>11</v>
      </c>
      <c r="C35" s="49" t="s">
        <v>52</v>
      </c>
      <c r="D35" s="49" t="s">
        <v>124</v>
      </c>
      <c r="E35" s="50"/>
      <c r="F35" s="48" t="s">
        <v>85</v>
      </c>
      <c r="G35" s="57" t="s">
        <v>137</v>
      </c>
      <c r="H35" s="50" t="s">
        <v>138</v>
      </c>
      <c r="I35" s="50" t="s">
        <v>77</v>
      </c>
      <c r="J35" s="48"/>
      <c r="K35" s="52"/>
      <c r="L35" s="52" t="n">
        <v>46310</v>
      </c>
      <c r="M35" s="58" t="s">
        <v>39</v>
      </c>
      <c r="N35" s="50" t="s">
        <v>92</v>
      </c>
      <c r="O35" s="50"/>
      <c r="P35" s="50"/>
      <c r="Q35" s="50"/>
      <c r="R35" s="50"/>
    </row>
    <row r="36" customFormat="false" ht="27.75" hidden="false" customHeight="true" outlineLevel="0" collapsed="false">
      <c r="A36" s="49" t="n">
        <v>1</v>
      </c>
      <c r="B36" s="49" t="s">
        <v>11</v>
      </c>
      <c r="C36" s="49" t="s">
        <v>52</v>
      </c>
      <c r="D36" s="49" t="s">
        <v>124</v>
      </c>
      <c r="E36" s="50"/>
      <c r="F36" s="48" t="s">
        <v>85</v>
      </c>
      <c r="G36" s="57" t="s">
        <v>139</v>
      </c>
      <c r="H36" s="50" t="s">
        <v>140</v>
      </c>
      <c r="I36" s="50" t="s">
        <v>77</v>
      </c>
      <c r="J36" s="48"/>
      <c r="K36" s="52"/>
      <c r="L36" s="52" t="n">
        <v>46327</v>
      </c>
      <c r="M36" s="58" t="s">
        <v>39</v>
      </c>
      <c r="N36" s="50" t="s">
        <v>92</v>
      </c>
      <c r="O36" s="50"/>
      <c r="P36" s="50"/>
      <c r="Q36" s="50"/>
      <c r="R36" s="50"/>
    </row>
    <row r="37" customFormat="false" ht="27.75" hidden="false" customHeight="true" outlineLevel="0" collapsed="false">
      <c r="A37" s="49" t="n">
        <v>1</v>
      </c>
      <c r="B37" s="49" t="s">
        <v>11</v>
      </c>
      <c r="C37" s="49" t="s">
        <v>52</v>
      </c>
      <c r="D37" s="49" t="s">
        <v>124</v>
      </c>
      <c r="E37" s="50"/>
      <c r="F37" s="48" t="s">
        <v>85</v>
      </c>
      <c r="G37" s="57" t="s">
        <v>141</v>
      </c>
      <c r="H37" s="50" t="s">
        <v>142</v>
      </c>
      <c r="I37" s="50" t="s">
        <v>77</v>
      </c>
      <c r="J37" s="48"/>
      <c r="K37" s="52"/>
      <c r="L37" s="52" t="n">
        <v>46447</v>
      </c>
      <c r="M37" s="58" t="s">
        <v>39</v>
      </c>
      <c r="N37" s="50" t="s">
        <v>92</v>
      </c>
      <c r="O37" s="50"/>
      <c r="P37" s="50"/>
      <c r="Q37" s="50"/>
      <c r="R37" s="50"/>
    </row>
    <row r="38" customFormat="false" ht="27.75" hidden="false" customHeight="true" outlineLevel="0" collapsed="false">
      <c r="A38" s="49" t="n">
        <v>1</v>
      </c>
      <c r="B38" s="49" t="s">
        <v>11</v>
      </c>
      <c r="C38" s="49" t="s">
        <v>52</v>
      </c>
      <c r="D38" s="49" t="s">
        <v>124</v>
      </c>
      <c r="E38" s="50"/>
      <c r="F38" s="48" t="s">
        <v>85</v>
      </c>
      <c r="G38" s="57" t="s">
        <v>143</v>
      </c>
      <c r="H38" s="50" t="s">
        <v>144</v>
      </c>
      <c r="I38" s="50" t="s">
        <v>77</v>
      </c>
      <c r="J38" s="48"/>
      <c r="K38" s="52"/>
      <c r="L38" s="52" t="n">
        <v>46461</v>
      </c>
      <c r="M38" s="58" t="s">
        <v>39</v>
      </c>
      <c r="N38" s="50" t="s">
        <v>92</v>
      </c>
      <c r="O38" s="50"/>
      <c r="P38" s="50"/>
      <c r="Q38" s="50"/>
      <c r="R38" s="50"/>
    </row>
    <row r="39" customFormat="false" ht="39" hidden="false" customHeight="true" outlineLevel="0" collapsed="false">
      <c r="A39" s="66" t="n">
        <v>2</v>
      </c>
      <c r="B39" s="67" t="s">
        <v>97</v>
      </c>
      <c r="C39" s="67" t="s">
        <v>52</v>
      </c>
      <c r="D39" s="66" t="s">
        <v>124</v>
      </c>
      <c r="E39" s="67"/>
      <c r="F39" s="67" t="s">
        <v>145</v>
      </c>
      <c r="G39" s="68" t="s">
        <v>146</v>
      </c>
      <c r="H39" s="68" t="s">
        <v>147</v>
      </c>
      <c r="I39" s="67" t="s">
        <v>101</v>
      </c>
      <c r="J39" s="67" t="s">
        <v>148</v>
      </c>
      <c r="K39" s="69" t="n">
        <v>46223</v>
      </c>
      <c r="L39" s="69" t="n">
        <v>46295</v>
      </c>
      <c r="M39" s="70" t="s">
        <v>34</v>
      </c>
      <c r="N39" s="61"/>
      <c r="O39" s="61"/>
      <c r="P39" s="61"/>
      <c r="Q39" s="61"/>
      <c r="R39" s="61"/>
    </row>
    <row r="40" customFormat="false" ht="39" hidden="false" customHeight="true" outlineLevel="1" collapsed="false">
      <c r="A40" s="71" t="n">
        <v>3</v>
      </c>
      <c r="B40" s="72" t="s">
        <v>97</v>
      </c>
      <c r="C40" s="72" t="s">
        <v>52</v>
      </c>
      <c r="D40" s="71" t="s">
        <v>124</v>
      </c>
      <c r="E40" s="72"/>
      <c r="F40" s="72" t="s">
        <v>149</v>
      </c>
      <c r="G40" s="73" t="s">
        <v>150</v>
      </c>
      <c r="H40" s="73" t="s">
        <v>151</v>
      </c>
      <c r="I40" s="72" t="s">
        <v>101</v>
      </c>
      <c r="J40" s="72" t="s">
        <v>148</v>
      </c>
      <c r="K40" s="74" t="n">
        <v>46209</v>
      </c>
      <c r="L40" s="74" t="n">
        <v>46234</v>
      </c>
      <c r="M40" s="29" t="s">
        <v>31</v>
      </c>
      <c r="N40" s="73" t="s">
        <v>152</v>
      </c>
      <c r="O40" s="61"/>
      <c r="P40" s="61"/>
      <c r="Q40" s="61"/>
      <c r="R40" s="61"/>
    </row>
    <row r="41" customFormat="false" ht="39" hidden="false" customHeight="true" outlineLevel="1" collapsed="false">
      <c r="A41" s="71" t="n">
        <v>3</v>
      </c>
      <c r="B41" s="72" t="s">
        <v>97</v>
      </c>
      <c r="C41" s="72" t="s">
        <v>52</v>
      </c>
      <c r="D41" s="71" t="s">
        <v>124</v>
      </c>
      <c r="E41" s="72"/>
      <c r="F41" s="72" t="s">
        <v>153</v>
      </c>
      <c r="G41" s="73" t="s">
        <v>154</v>
      </c>
      <c r="H41" s="73" t="s">
        <v>155</v>
      </c>
      <c r="I41" s="72" t="s">
        <v>101</v>
      </c>
      <c r="J41" s="72" t="s">
        <v>148</v>
      </c>
      <c r="K41" s="74" t="n">
        <v>46223</v>
      </c>
      <c r="L41" s="74" t="n">
        <v>46252</v>
      </c>
      <c r="M41" s="72" t="s">
        <v>34</v>
      </c>
      <c r="N41" s="73" t="s">
        <v>156</v>
      </c>
      <c r="O41" s="61"/>
      <c r="P41" s="61"/>
      <c r="Q41" s="61"/>
      <c r="R41" s="61"/>
    </row>
    <row r="42" customFormat="false" ht="25.5" hidden="false" customHeight="true" outlineLevel="1" collapsed="false">
      <c r="A42" s="75" t="n">
        <v>4</v>
      </c>
      <c r="B42" s="76" t="s">
        <v>97</v>
      </c>
      <c r="C42" s="76" t="s">
        <v>52</v>
      </c>
      <c r="D42" s="75" t="s">
        <v>124</v>
      </c>
      <c r="E42" s="76"/>
      <c r="F42" s="76" t="s">
        <v>157</v>
      </c>
      <c r="G42" s="77" t="s">
        <v>158</v>
      </c>
      <c r="H42" s="77" t="s">
        <v>159</v>
      </c>
      <c r="I42" s="76" t="s">
        <v>101</v>
      </c>
      <c r="J42" s="76" t="s">
        <v>148</v>
      </c>
      <c r="K42" s="78" t="n">
        <v>46223</v>
      </c>
      <c r="L42" s="78" t="n">
        <v>46234</v>
      </c>
      <c r="M42" s="76" t="s">
        <v>31</v>
      </c>
      <c r="N42" s="77"/>
      <c r="O42" s="61"/>
      <c r="P42" s="61"/>
      <c r="Q42" s="61"/>
      <c r="R42" s="61"/>
    </row>
    <row r="43" customFormat="false" ht="39" hidden="false" customHeight="true" outlineLevel="1" collapsed="false">
      <c r="A43" s="75" t="n">
        <v>4</v>
      </c>
      <c r="B43" s="76" t="s">
        <v>97</v>
      </c>
      <c r="C43" s="76" t="s">
        <v>52</v>
      </c>
      <c r="D43" s="75" t="s">
        <v>124</v>
      </c>
      <c r="E43" s="76"/>
      <c r="F43" s="76" t="s">
        <v>160</v>
      </c>
      <c r="G43" s="77" t="s">
        <v>161</v>
      </c>
      <c r="H43" s="77" t="s">
        <v>162</v>
      </c>
      <c r="I43" s="76" t="s">
        <v>101</v>
      </c>
      <c r="J43" s="76" t="s">
        <v>148</v>
      </c>
      <c r="K43" s="78" t="n">
        <v>46230</v>
      </c>
      <c r="L43" s="78" t="n">
        <v>46248</v>
      </c>
      <c r="M43" s="76" t="s">
        <v>34</v>
      </c>
      <c r="N43" s="77"/>
      <c r="O43" s="61"/>
      <c r="P43" s="61"/>
      <c r="Q43" s="61"/>
      <c r="R43" s="61"/>
    </row>
    <row r="44" customFormat="false" ht="39" hidden="false" customHeight="true" outlineLevel="1" collapsed="false">
      <c r="A44" s="75" t="n">
        <v>4</v>
      </c>
      <c r="B44" s="76" t="s">
        <v>97</v>
      </c>
      <c r="C44" s="76" t="s">
        <v>52</v>
      </c>
      <c r="D44" s="75" t="s">
        <v>124</v>
      </c>
      <c r="E44" s="76"/>
      <c r="F44" s="76" t="s">
        <v>163</v>
      </c>
      <c r="G44" s="77" t="s">
        <v>164</v>
      </c>
      <c r="H44" s="77" t="s">
        <v>165</v>
      </c>
      <c r="I44" s="76" t="s">
        <v>101</v>
      </c>
      <c r="J44" s="76" t="s">
        <v>148</v>
      </c>
      <c r="K44" s="78" t="n">
        <v>46238</v>
      </c>
      <c r="L44" s="78" t="n">
        <v>46252</v>
      </c>
      <c r="M44" s="76" t="s">
        <v>34</v>
      </c>
      <c r="N44" s="77" t="s">
        <v>166</v>
      </c>
      <c r="O44" s="61"/>
      <c r="P44" s="61"/>
      <c r="Q44" s="61"/>
      <c r="R44" s="61"/>
    </row>
    <row r="45" customFormat="false" ht="64.5" hidden="false" customHeight="true" outlineLevel="1" collapsed="false">
      <c r="A45" s="71" t="n">
        <v>3</v>
      </c>
      <c r="B45" s="72" t="s">
        <v>97</v>
      </c>
      <c r="C45" s="72" t="s">
        <v>52</v>
      </c>
      <c r="D45" s="71" t="s">
        <v>124</v>
      </c>
      <c r="E45" s="72"/>
      <c r="F45" s="72" t="s">
        <v>167</v>
      </c>
      <c r="G45" s="73" t="s">
        <v>168</v>
      </c>
      <c r="H45" s="73" t="s">
        <v>169</v>
      </c>
      <c r="I45" s="72" t="s">
        <v>101</v>
      </c>
      <c r="J45" s="72" t="s">
        <v>148</v>
      </c>
      <c r="K45" s="74" t="n">
        <v>46237</v>
      </c>
      <c r="L45" s="74" t="n">
        <v>46265</v>
      </c>
      <c r="M45" s="72" t="s">
        <v>34</v>
      </c>
      <c r="N45" s="73"/>
      <c r="O45" s="61"/>
      <c r="P45" s="61"/>
      <c r="Q45" s="61"/>
      <c r="R45" s="61"/>
    </row>
    <row r="46" customFormat="false" ht="15.75" hidden="false" customHeight="false" outlineLevel="1" collapsed="false">
      <c r="A46" s="71" t="n">
        <v>3</v>
      </c>
      <c r="B46" s="72" t="s">
        <v>97</v>
      </c>
      <c r="C46" s="72" t="s">
        <v>52</v>
      </c>
      <c r="D46" s="71" t="s">
        <v>124</v>
      </c>
      <c r="E46" s="72"/>
      <c r="F46" s="72" t="s">
        <v>170</v>
      </c>
      <c r="G46" s="73" t="s">
        <v>171</v>
      </c>
      <c r="H46" s="73" t="s">
        <v>172</v>
      </c>
      <c r="I46" s="72" t="s">
        <v>101</v>
      </c>
      <c r="J46" s="72" t="s">
        <v>148</v>
      </c>
      <c r="K46" s="74" t="n">
        <v>46252</v>
      </c>
      <c r="L46" s="74" t="n">
        <v>46269</v>
      </c>
      <c r="M46" s="72" t="s">
        <v>39</v>
      </c>
      <c r="N46" s="73" t="s">
        <v>173</v>
      </c>
      <c r="O46" s="61"/>
      <c r="P46" s="61"/>
      <c r="Q46" s="61"/>
      <c r="R46" s="61"/>
    </row>
    <row r="47" customFormat="false" ht="25.5" hidden="false" customHeight="true" outlineLevel="1" collapsed="false">
      <c r="A47" s="71" t="n">
        <v>3</v>
      </c>
      <c r="B47" s="72" t="s">
        <v>97</v>
      </c>
      <c r="C47" s="72" t="s">
        <v>52</v>
      </c>
      <c r="D47" s="71" t="s">
        <v>124</v>
      </c>
      <c r="E47" s="72"/>
      <c r="F47" s="72" t="s">
        <v>174</v>
      </c>
      <c r="G47" s="73" t="s">
        <v>175</v>
      </c>
      <c r="H47" s="73" t="s">
        <v>176</v>
      </c>
      <c r="I47" s="72" t="s">
        <v>101</v>
      </c>
      <c r="J47" s="72" t="s">
        <v>148</v>
      </c>
      <c r="K47" s="74" t="n">
        <v>46272</v>
      </c>
      <c r="L47" s="74" t="n">
        <v>46295</v>
      </c>
      <c r="M47" s="72" t="s">
        <v>39</v>
      </c>
      <c r="N47" s="73"/>
      <c r="O47" s="61"/>
      <c r="P47" s="61"/>
      <c r="Q47" s="61"/>
      <c r="R47" s="61"/>
    </row>
    <row r="48" customFormat="false" ht="39" hidden="false" customHeight="true" outlineLevel="1" collapsed="false">
      <c r="A48" s="71" t="n">
        <v>3</v>
      </c>
      <c r="B48" s="72" t="s">
        <v>97</v>
      </c>
      <c r="C48" s="72" t="s">
        <v>52</v>
      </c>
      <c r="D48" s="71" t="s">
        <v>124</v>
      </c>
      <c r="E48" s="72"/>
      <c r="F48" s="72" t="s">
        <v>177</v>
      </c>
      <c r="G48" s="73" t="s">
        <v>178</v>
      </c>
      <c r="H48" s="73" t="s">
        <v>179</v>
      </c>
      <c r="I48" s="72" t="s">
        <v>101</v>
      </c>
      <c r="J48" s="72" t="s">
        <v>148</v>
      </c>
      <c r="K48" s="74" t="n">
        <v>46300</v>
      </c>
      <c r="L48" s="74" t="n">
        <v>46325</v>
      </c>
      <c r="M48" s="72" t="s">
        <v>39</v>
      </c>
      <c r="N48" s="73" t="s">
        <v>180</v>
      </c>
      <c r="O48" s="61"/>
      <c r="P48" s="61"/>
      <c r="Q48" s="61"/>
      <c r="R48" s="61"/>
    </row>
    <row r="49" customFormat="false" ht="66.75" hidden="false" customHeight="true" outlineLevel="0" collapsed="false">
      <c r="A49" s="66" t="n">
        <v>2</v>
      </c>
      <c r="B49" s="67" t="s">
        <v>97</v>
      </c>
      <c r="C49" s="67" t="s">
        <v>52</v>
      </c>
      <c r="D49" s="66" t="s">
        <v>124</v>
      </c>
      <c r="E49" s="67"/>
      <c r="F49" s="67" t="s">
        <v>181</v>
      </c>
      <c r="G49" s="68" t="s">
        <v>182</v>
      </c>
      <c r="H49" s="68" t="s">
        <v>183</v>
      </c>
      <c r="I49" s="67" t="s">
        <v>101</v>
      </c>
      <c r="J49" s="67" t="s">
        <v>148</v>
      </c>
      <c r="K49" s="69" t="n">
        <v>46266</v>
      </c>
      <c r="L49" s="69" t="n">
        <v>46446</v>
      </c>
      <c r="M49" s="67" t="s">
        <v>39</v>
      </c>
      <c r="N49" s="68" t="s">
        <v>184</v>
      </c>
      <c r="O49" s="61"/>
      <c r="P49" s="61"/>
      <c r="Q49" s="61"/>
      <c r="R49" s="61"/>
    </row>
    <row r="50" customFormat="false" ht="25.5" hidden="false" customHeight="true" outlineLevel="1" collapsed="false">
      <c r="A50" s="71" t="n">
        <v>3</v>
      </c>
      <c r="B50" s="72" t="s">
        <v>97</v>
      </c>
      <c r="C50" s="72" t="s">
        <v>52</v>
      </c>
      <c r="D50" s="71" t="s">
        <v>124</v>
      </c>
      <c r="E50" s="72"/>
      <c r="F50" s="72" t="s">
        <v>185</v>
      </c>
      <c r="G50" s="73" t="s">
        <v>186</v>
      </c>
      <c r="H50" s="73" t="s">
        <v>187</v>
      </c>
      <c r="I50" s="72" t="s">
        <v>101</v>
      </c>
      <c r="J50" s="72" t="s">
        <v>148</v>
      </c>
      <c r="K50" s="74" t="n">
        <v>46266</v>
      </c>
      <c r="L50" s="74" t="n">
        <v>46356</v>
      </c>
      <c r="M50" s="72" t="s">
        <v>39</v>
      </c>
      <c r="N50" s="73" t="s">
        <v>188</v>
      </c>
      <c r="O50" s="61"/>
      <c r="P50" s="61"/>
      <c r="Q50" s="61"/>
      <c r="R50" s="61"/>
    </row>
    <row r="51" customFormat="false" ht="25.5" hidden="false" customHeight="true" outlineLevel="1" collapsed="false">
      <c r="A51" s="75" t="n">
        <v>4</v>
      </c>
      <c r="B51" s="76" t="s">
        <v>97</v>
      </c>
      <c r="C51" s="76" t="s">
        <v>52</v>
      </c>
      <c r="D51" s="75" t="s">
        <v>124</v>
      </c>
      <c r="E51" s="76"/>
      <c r="F51" s="76" t="s">
        <v>189</v>
      </c>
      <c r="G51" s="77" t="s">
        <v>190</v>
      </c>
      <c r="H51" s="77" t="s">
        <v>191</v>
      </c>
      <c r="I51" s="76" t="s">
        <v>101</v>
      </c>
      <c r="J51" s="76" t="s">
        <v>148</v>
      </c>
      <c r="K51" s="78" t="n">
        <v>46266</v>
      </c>
      <c r="L51" s="78" t="n">
        <v>46280</v>
      </c>
      <c r="M51" s="76" t="s">
        <v>39</v>
      </c>
      <c r="N51" s="77"/>
      <c r="O51" s="61"/>
      <c r="P51" s="61"/>
      <c r="Q51" s="61"/>
      <c r="R51" s="61"/>
    </row>
    <row r="52" customFormat="false" ht="25.5" hidden="false" customHeight="true" outlineLevel="1" collapsed="false">
      <c r="A52" s="75" t="n">
        <v>4</v>
      </c>
      <c r="B52" s="76" t="s">
        <v>97</v>
      </c>
      <c r="C52" s="76" t="s">
        <v>52</v>
      </c>
      <c r="D52" s="75" t="s">
        <v>124</v>
      </c>
      <c r="E52" s="76"/>
      <c r="F52" s="76" t="s">
        <v>192</v>
      </c>
      <c r="G52" s="77" t="s">
        <v>193</v>
      </c>
      <c r="H52" s="77" t="s">
        <v>194</v>
      </c>
      <c r="I52" s="76" t="s">
        <v>101</v>
      </c>
      <c r="J52" s="76" t="s">
        <v>148</v>
      </c>
      <c r="K52" s="78" t="n">
        <v>46280</v>
      </c>
      <c r="L52" s="78" t="n">
        <v>46326</v>
      </c>
      <c r="M52" s="76" t="s">
        <v>39</v>
      </c>
      <c r="N52" s="77" t="s">
        <v>195</v>
      </c>
      <c r="O52" s="61"/>
      <c r="P52" s="61"/>
      <c r="Q52" s="61"/>
      <c r="R52" s="61"/>
    </row>
    <row r="53" customFormat="false" ht="25.5" hidden="false" customHeight="true" outlineLevel="1" collapsed="false">
      <c r="A53" s="75" t="n">
        <v>4</v>
      </c>
      <c r="B53" s="76" t="s">
        <v>97</v>
      </c>
      <c r="C53" s="76" t="s">
        <v>52</v>
      </c>
      <c r="D53" s="75" t="s">
        <v>124</v>
      </c>
      <c r="E53" s="76"/>
      <c r="F53" s="76" t="s">
        <v>196</v>
      </c>
      <c r="G53" s="77" t="s">
        <v>197</v>
      </c>
      <c r="H53" s="77" t="s">
        <v>198</v>
      </c>
      <c r="I53" s="76" t="s">
        <v>101</v>
      </c>
      <c r="J53" s="76" t="s">
        <v>148</v>
      </c>
      <c r="K53" s="78" t="n">
        <v>46310</v>
      </c>
      <c r="L53" s="78" t="n">
        <v>46356</v>
      </c>
      <c r="M53" s="76" t="s">
        <v>39</v>
      </c>
      <c r="N53" s="77"/>
      <c r="O53" s="61"/>
      <c r="P53" s="61"/>
      <c r="Q53" s="61"/>
      <c r="R53" s="61"/>
    </row>
    <row r="54" customFormat="false" ht="64.5" hidden="false" customHeight="true" outlineLevel="1" collapsed="false">
      <c r="A54" s="71" t="n">
        <v>3</v>
      </c>
      <c r="B54" s="72" t="s">
        <v>97</v>
      </c>
      <c r="C54" s="72" t="s">
        <v>52</v>
      </c>
      <c r="D54" s="71" t="s">
        <v>124</v>
      </c>
      <c r="E54" s="72"/>
      <c r="F54" s="72" t="s">
        <v>199</v>
      </c>
      <c r="G54" s="73" t="s">
        <v>200</v>
      </c>
      <c r="H54" s="73" t="s">
        <v>201</v>
      </c>
      <c r="I54" s="72" t="s">
        <v>101</v>
      </c>
      <c r="J54" s="72" t="s">
        <v>148</v>
      </c>
      <c r="K54" s="74" t="n">
        <v>46327</v>
      </c>
      <c r="L54" s="74" t="n">
        <v>46418</v>
      </c>
      <c r="M54" s="76" t="s">
        <v>39</v>
      </c>
      <c r="N54" s="73" t="s">
        <v>202</v>
      </c>
      <c r="O54" s="72"/>
      <c r="P54" s="72"/>
      <c r="Q54" s="72"/>
      <c r="R54" s="72"/>
    </row>
    <row r="55" customFormat="false" ht="51.75" hidden="false" customHeight="true" outlineLevel="1" collapsed="false">
      <c r="A55" s="71" t="n">
        <v>3</v>
      </c>
      <c r="B55" s="72" t="s">
        <v>97</v>
      </c>
      <c r="C55" s="72" t="s">
        <v>52</v>
      </c>
      <c r="D55" s="71" t="s">
        <v>124</v>
      </c>
      <c r="E55" s="72"/>
      <c r="F55" s="72" t="s">
        <v>203</v>
      </c>
      <c r="G55" s="73" t="s">
        <v>204</v>
      </c>
      <c r="H55" s="73" t="s">
        <v>205</v>
      </c>
      <c r="I55" s="72" t="s">
        <v>101</v>
      </c>
      <c r="J55" s="72" t="s">
        <v>148</v>
      </c>
      <c r="K55" s="74" t="n">
        <v>46327</v>
      </c>
      <c r="L55" s="74" t="n">
        <v>46418</v>
      </c>
      <c r="M55" s="76" t="s">
        <v>39</v>
      </c>
      <c r="N55" s="73" t="s">
        <v>206</v>
      </c>
      <c r="O55" s="72"/>
      <c r="P55" s="72"/>
      <c r="Q55" s="72"/>
      <c r="R55" s="72"/>
    </row>
    <row r="56" customFormat="false" ht="70.5" hidden="false" customHeight="true" outlineLevel="1" collapsed="false">
      <c r="A56" s="71" t="n">
        <v>3</v>
      </c>
      <c r="B56" s="72" t="s">
        <v>97</v>
      </c>
      <c r="C56" s="72" t="s">
        <v>52</v>
      </c>
      <c r="D56" s="71" t="s">
        <v>124</v>
      </c>
      <c r="E56" s="72"/>
      <c r="F56" s="72" t="s">
        <v>207</v>
      </c>
      <c r="G56" s="73" t="s">
        <v>208</v>
      </c>
      <c r="H56" s="73" t="s">
        <v>209</v>
      </c>
      <c r="I56" s="72" t="s">
        <v>101</v>
      </c>
      <c r="J56" s="72" t="s">
        <v>148</v>
      </c>
      <c r="K56" s="74" t="n">
        <v>46327</v>
      </c>
      <c r="L56" s="74" t="n">
        <v>46446</v>
      </c>
      <c r="M56" s="76" t="s">
        <v>39</v>
      </c>
      <c r="N56" s="73" t="s">
        <v>210</v>
      </c>
      <c r="O56" s="76"/>
      <c r="P56" s="76"/>
      <c r="Q56" s="76"/>
      <c r="R56" s="76"/>
    </row>
    <row r="57" customFormat="false" ht="45" hidden="false" customHeight="true" outlineLevel="1" collapsed="false">
      <c r="A57" s="75" t="n">
        <v>4</v>
      </c>
      <c r="B57" s="76" t="s">
        <v>97</v>
      </c>
      <c r="C57" s="76" t="s">
        <v>52</v>
      </c>
      <c r="D57" s="75" t="s">
        <v>124</v>
      </c>
      <c r="E57" s="76"/>
      <c r="F57" s="76" t="s">
        <v>211</v>
      </c>
      <c r="G57" s="77" t="s">
        <v>212</v>
      </c>
      <c r="H57" s="77" t="s">
        <v>213</v>
      </c>
      <c r="I57" s="76" t="s">
        <v>101</v>
      </c>
      <c r="J57" s="76" t="s">
        <v>148</v>
      </c>
      <c r="K57" s="78" t="n">
        <v>46346</v>
      </c>
      <c r="L57" s="78" t="n">
        <v>46402</v>
      </c>
      <c r="M57" s="76" t="s">
        <v>39</v>
      </c>
      <c r="N57" s="77"/>
      <c r="O57" s="76"/>
      <c r="P57" s="76"/>
      <c r="Q57" s="76"/>
      <c r="R57" s="76"/>
    </row>
    <row r="58" customFormat="false" ht="45" hidden="false" customHeight="true" outlineLevel="1" collapsed="false">
      <c r="A58" s="75" t="n">
        <v>4</v>
      </c>
      <c r="B58" s="76" t="s">
        <v>97</v>
      </c>
      <c r="C58" s="76" t="s">
        <v>52</v>
      </c>
      <c r="D58" s="75" t="s">
        <v>124</v>
      </c>
      <c r="E58" s="76"/>
      <c r="F58" s="76" t="s">
        <v>214</v>
      </c>
      <c r="G58" s="77" t="s">
        <v>215</v>
      </c>
      <c r="H58" s="77" t="s">
        <v>216</v>
      </c>
      <c r="I58" s="76" t="s">
        <v>101</v>
      </c>
      <c r="J58" s="76" t="s">
        <v>148</v>
      </c>
      <c r="K58" s="78" t="n">
        <v>46392</v>
      </c>
      <c r="L58" s="78" t="n">
        <v>46433</v>
      </c>
      <c r="M58" s="76" t="s">
        <v>39</v>
      </c>
      <c r="N58" s="77" t="s">
        <v>217</v>
      </c>
      <c r="O58" s="76"/>
      <c r="P58" s="76"/>
      <c r="Q58" s="76"/>
      <c r="R58" s="76"/>
    </row>
    <row r="59" customFormat="false" ht="75" hidden="false" customHeight="true" outlineLevel="1" collapsed="false">
      <c r="A59" s="75" t="n">
        <v>4</v>
      </c>
      <c r="B59" s="76" t="s">
        <v>97</v>
      </c>
      <c r="C59" s="76" t="s">
        <v>52</v>
      </c>
      <c r="D59" s="75" t="s">
        <v>124</v>
      </c>
      <c r="E59" s="76"/>
      <c r="F59" s="76" t="s">
        <v>218</v>
      </c>
      <c r="G59" s="77" t="s">
        <v>219</v>
      </c>
      <c r="H59" s="77" t="s">
        <v>220</v>
      </c>
      <c r="I59" s="76" t="s">
        <v>101</v>
      </c>
      <c r="J59" s="76" t="s">
        <v>148</v>
      </c>
      <c r="K59" s="78" t="n">
        <v>46433</v>
      </c>
      <c r="L59" s="78" t="n">
        <v>46446</v>
      </c>
      <c r="M59" s="76" t="s">
        <v>39</v>
      </c>
      <c r="N59" s="77"/>
      <c r="O59" s="72"/>
      <c r="P59" s="72"/>
      <c r="Q59" s="72"/>
      <c r="R59" s="72"/>
    </row>
    <row r="60" customFormat="false" ht="15" hidden="false" customHeight="true" outlineLevel="1" collapsed="false">
      <c r="A60" s="71" t="n">
        <v>3</v>
      </c>
      <c r="B60" s="72" t="s">
        <v>97</v>
      </c>
      <c r="C60" s="72" t="s">
        <v>52</v>
      </c>
      <c r="D60" s="71" t="s">
        <v>124</v>
      </c>
      <c r="E60" s="72"/>
      <c r="F60" s="72" t="s">
        <v>221</v>
      </c>
      <c r="G60" s="73" t="s">
        <v>222</v>
      </c>
      <c r="H60" s="73" t="s">
        <v>223</v>
      </c>
      <c r="I60" s="72" t="s">
        <v>101</v>
      </c>
      <c r="J60" s="72" t="s">
        <v>148</v>
      </c>
      <c r="K60" s="74" t="n">
        <v>46357</v>
      </c>
      <c r="L60" s="74" t="n">
        <v>46412</v>
      </c>
      <c r="M60" s="72" t="s">
        <v>39</v>
      </c>
      <c r="N60" s="73" t="s">
        <v>224</v>
      </c>
      <c r="O60" s="72"/>
      <c r="P60" s="72"/>
      <c r="Q60" s="72"/>
      <c r="R60" s="72"/>
    </row>
    <row r="61" customFormat="false" ht="60" hidden="false" customHeight="true" outlineLevel="0" collapsed="false">
      <c r="A61" s="66" t="n">
        <v>2</v>
      </c>
      <c r="B61" s="67" t="s">
        <v>97</v>
      </c>
      <c r="C61" s="67" t="s">
        <v>52</v>
      </c>
      <c r="D61" s="66" t="s">
        <v>124</v>
      </c>
      <c r="E61" s="67"/>
      <c r="F61" s="67" t="s">
        <v>225</v>
      </c>
      <c r="G61" s="68" t="s">
        <v>226</v>
      </c>
      <c r="H61" s="68" t="s">
        <v>227</v>
      </c>
      <c r="I61" s="67" t="s">
        <v>101</v>
      </c>
      <c r="J61" s="67" t="s">
        <v>148</v>
      </c>
      <c r="K61" s="69" t="n">
        <v>46223</v>
      </c>
      <c r="L61" s="69" t="n">
        <v>46428</v>
      </c>
      <c r="M61" s="70" t="s">
        <v>34</v>
      </c>
      <c r="N61" s="68" t="s">
        <v>228</v>
      </c>
      <c r="O61" s="67"/>
      <c r="P61" s="67"/>
      <c r="Q61" s="72"/>
      <c r="R61" s="72"/>
    </row>
    <row r="62" customFormat="false" ht="39" hidden="false" customHeight="true" outlineLevel="1" collapsed="false">
      <c r="A62" s="71" t="n">
        <v>3</v>
      </c>
      <c r="B62" s="72" t="s">
        <v>97</v>
      </c>
      <c r="C62" s="72" t="s">
        <v>52</v>
      </c>
      <c r="D62" s="71" t="s">
        <v>124</v>
      </c>
      <c r="E62" s="72"/>
      <c r="F62" s="72" t="s">
        <v>229</v>
      </c>
      <c r="G62" s="73" t="s">
        <v>230</v>
      </c>
      <c r="H62" s="73" t="s">
        <v>231</v>
      </c>
      <c r="I62" s="72" t="s">
        <v>101</v>
      </c>
      <c r="J62" s="72" t="s">
        <v>148</v>
      </c>
      <c r="K62" s="74" t="n">
        <v>46223</v>
      </c>
      <c r="L62" s="74" t="n">
        <v>46249</v>
      </c>
      <c r="M62" s="72" t="s">
        <v>34</v>
      </c>
      <c r="N62" s="73" t="s">
        <v>232</v>
      </c>
      <c r="O62" s="72"/>
      <c r="P62" s="72"/>
      <c r="Q62" s="72"/>
      <c r="R62" s="72"/>
    </row>
    <row r="63" customFormat="false" ht="51.75" hidden="false" customHeight="true" outlineLevel="1" collapsed="false">
      <c r="A63" s="71" t="n">
        <v>3</v>
      </c>
      <c r="B63" s="72" t="s">
        <v>97</v>
      </c>
      <c r="C63" s="72" t="s">
        <v>52</v>
      </c>
      <c r="D63" s="71" t="s">
        <v>124</v>
      </c>
      <c r="E63" s="72"/>
      <c r="F63" s="72" t="s">
        <v>233</v>
      </c>
      <c r="G63" s="73" t="s">
        <v>234</v>
      </c>
      <c r="H63" s="73" t="s">
        <v>235</v>
      </c>
      <c r="I63" s="72" t="s">
        <v>101</v>
      </c>
      <c r="J63" s="72" t="s">
        <v>148</v>
      </c>
      <c r="K63" s="74" t="n">
        <v>46249</v>
      </c>
      <c r="L63" s="74" t="n">
        <v>46356</v>
      </c>
      <c r="M63" s="72" t="s">
        <v>39</v>
      </c>
      <c r="N63" s="73" t="s">
        <v>236</v>
      </c>
      <c r="O63" s="72"/>
      <c r="P63" s="72"/>
      <c r="Q63" s="72"/>
      <c r="R63" s="72"/>
    </row>
    <row r="64" customFormat="false" ht="64.5" hidden="false" customHeight="true" outlineLevel="1" collapsed="false">
      <c r="A64" s="71" t="n">
        <v>3</v>
      </c>
      <c r="B64" s="72" t="s">
        <v>97</v>
      </c>
      <c r="C64" s="72" t="s">
        <v>52</v>
      </c>
      <c r="D64" s="71" t="s">
        <v>124</v>
      </c>
      <c r="E64" s="72"/>
      <c r="F64" s="72" t="s">
        <v>237</v>
      </c>
      <c r="G64" s="73" t="s">
        <v>238</v>
      </c>
      <c r="H64" s="73" t="s">
        <v>239</v>
      </c>
      <c r="I64" s="72" t="s">
        <v>101</v>
      </c>
      <c r="J64" s="72" t="s">
        <v>148</v>
      </c>
      <c r="K64" s="74" t="n">
        <v>46244</v>
      </c>
      <c r="L64" s="74" t="n">
        <v>46295</v>
      </c>
      <c r="M64" s="72" t="s">
        <v>39</v>
      </c>
      <c r="N64" s="73" t="s">
        <v>240</v>
      </c>
      <c r="O64" s="72"/>
      <c r="P64" s="72"/>
      <c r="Q64" s="72"/>
      <c r="R64" s="72"/>
    </row>
    <row r="65" customFormat="false" ht="42" hidden="false" customHeight="true" outlineLevel="1" collapsed="false">
      <c r="A65" s="71" t="n">
        <v>3</v>
      </c>
      <c r="B65" s="72" t="s">
        <v>97</v>
      </c>
      <c r="C65" s="72" t="s">
        <v>52</v>
      </c>
      <c r="D65" s="71" t="s">
        <v>124</v>
      </c>
      <c r="E65" s="72"/>
      <c r="F65" s="72" t="s">
        <v>241</v>
      </c>
      <c r="G65" s="73" t="s">
        <v>242</v>
      </c>
      <c r="H65" s="73" t="s">
        <v>243</v>
      </c>
      <c r="I65" s="72" t="s">
        <v>101</v>
      </c>
      <c r="J65" s="72" t="s">
        <v>148</v>
      </c>
      <c r="K65" s="74" t="n">
        <v>46249</v>
      </c>
      <c r="L65" s="74" t="n">
        <v>46295</v>
      </c>
      <c r="M65" s="72" t="s">
        <v>39</v>
      </c>
      <c r="N65" s="73" t="s">
        <v>244</v>
      </c>
      <c r="O65" s="72"/>
      <c r="P65" s="72"/>
      <c r="Q65" s="72"/>
      <c r="R65" s="72"/>
    </row>
    <row r="66" customFormat="false" ht="64.5" hidden="false" customHeight="true" outlineLevel="1" collapsed="false">
      <c r="A66" s="71" t="n">
        <v>3</v>
      </c>
      <c r="B66" s="72" t="s">
        <v>97</v>
      </c>
      <c r="C66" s="72" t="s">
        <v>52</v>
      </c>
      <c r="D66" s="71" t="s">
        <v>124</v>
      </c>
      <c r="E66" s="72"/>
      <c r="F66" s="72" t="s">
        <v>245</v>
      </c>
      <c r="G66" s="73" t="s">
        <v>246</v>
      </c>
      <c r="H66" s="73" t="s">
        <v>247</v>
      </c>
      <c r="I66" s="72" t="s">
        <v>101</v>
      </c>
      <c r="J66" s="72" t="s">
        <v>148</v>
      </c>
      <c r="K66" s="74" t="n">
        <v>46249</v>
      </c>
      <c r="L66" s="74" t="n">
        <v>46295</v>
      </c>
      <c r="M66" s="72" t="s">
        <v>39</v>
      </c>
      <c r="N66" s="73" t="s">
        <v>248</v>
      </c>
      <c r="O66" s="72"/>
      <c r="P66" s="72"/>
      <c r="Q66" s="72"/>
      <c r="R66" s="72"/>
    </row>
    <row r="67" customFormat="false" ht="63" hidden="false" customHeight="true" outlineLevel="1" collapsed="false">
      <c r="A67" s="71" t="n">
        <v>3</v>
      </c>
      <c r="B67" s="72" t="s">
        <v>97</v>
      </c>
      <c r="C67" s="72" t="s">
        <v>52</v>
      </c>
      <c r="D67" s="71" t="s">
        <v>124</v>
      </c>
      <c r="E67" s="72"/>
      <c r="F67" s="72" t="s">
        <v>249</v>
      </c>
      <c r="G67" s="73" t="s">
        <v>250</v>
      </c>
      <c r="H67" s="73" t="s">
        <v>251</v>
      </c>
      <c r="I67" s="72" t="s">
        <v>101</v>
      </c>
      <c r="J67" s="72" t="s">
        <v>148</v>
      </c>
      <c r="K67" s="74" t="n">
        <v>46266</v>
      </c>
      <c r="L67" s="74" t="n">
        <v>46310</v>
      </c>
      <c r="M67" s="72" t="s">
        <v>39</v>
      </c>
      <c r="N67" s="73" t="s">
        <v>252</v>
      </c>
      <c r="O67" s="72"/>
      <c r="P67" s="72"/>
      <c r="Q67" s="72"/>
      <c r="R67" s="72"/>
    </row>
    <row r="68" customFormat="false" ht="63" hidden="false" customHeight="true" outlineLevel="1" collapsed="false">
      <c r="A68" s="71" t="n">
        <v>3</v>
      </c>
      <c r="B68" s="72" t="s">
        <v>97</v>
      </c>
      <c r="C68" s="72" t="s">
        <v>52</v>
      </c>
      <c r="D68" s="71" t="s">
        <v>124</v>
      </c>
      <c r="E68" s="72"/>
      <c r="F68" s="72" t="s">
        <v>253</v>
      </c>
      <c r="G68" s="73" t="s">
        <v>254</v>
      </c>
      <c r="H68" s="73" t="s">
        <v>255</v>
      </c>
      <c r="I68" s="72" t="s">
        <v>101</v>
      </c>
      <c r="J68" s="72" t="s">
        <v>148</v>
      </c>
      <c r="K68" s="74" t="n">
        <v>46266</v>
      </c>
      <c r="L68" s="74" t="n">
        <v>46376</v>
      </c>
      <c r="M68" s="72" t="s">
        <v>39</v>
      </c>
      <c r="N68" s="73" t="s">
        <v>256</v>
      </c>
      <c r="O68" s="72"/>
      <c r="P68" s="72"/>
      <c r="Q68" s="72"/>
      <c r="R68" s="72"/>
    </row>
    <row r="69" customFormat="false" ht="25.5" hidden="false" customHeight="true" outlineLevel="1" collapsed="false">
      <c r="A69" s="75" t="n">
        <v>4</v>
      </c>
      <c r="B69" s="76" t="s">
        <v>97</v>
      </c>
      <c r="C69" s="76" t="s">
        <v>52</v>
      </c>
      <c r="D69" s="75" t="s">
        <v>124</v>
      </c>
      <c r="E69" s="76"/>
      <c r="F69" s="76" t="s">
        <v>257</v>
      </c>
      <c r="G69" s="77" t="s">
        <v>258</v>
      </c>
      <c r="H69" s="77" t="s">
        <v>259</v>
      </c>
      <c r="I69" s="76" t="s">
        <v>101</v>
      </c>
      <c r="J69" s="76" t="s">
        <v>148</v>
      </c>
      <c r="K69" s="78" t="n">
        <v>46266</v>
      </c>
      <c r="L69" s="78" t="n">
        <v>46310</v>
      </c>
      <c r="M69" s="76" t="s">
        <v>39</v>
      </c>
      <c r="N69" s="77" t="s">
        <v>260</v>
      </c>
      <c r="O69" s="76"/>
      <c r="P69" s="76"/>
      <c r="Q69" s="72"/>
      <c r="R69" s="72"/>
    </row>
    <row r="70" customFormat="false" ht="39" hidden="false" customHeight="true" outlineLevel="1" collapsed="false">
      <c r="A70" s="75" t="n">
        <v>4</v>
      </c>
      <c r="B70" s="76" t="s">
        <v>97</v>
      </c>
      <c r="C70" s="76" t="s">
        <v>52</v>
      </c>
      <c r="D70" s="75" t="s">
        <v>124</v>
      </c>
      <c r="E70" s="76"/>
      <c r="F70" s="76" t="s">
        <v>261</v>
      </c>
      <c r="G70" s="77" t="s">
        <v>262</v>
      </c>
      <c r="H70" s="77" t="s">
        <v>263</v>
      </c>
      <c r="I70" s="76" t="s">
        <v>101</v>
      </c>
      <c r="J70" s="76" t="s">
        <v>148</v>
      </c>
      <c r="K70" s="78" t="n">
        <v>46296</v>
      </c>
      <c r="L70" s="78" t="n">
        <v>46341</v>
      </c>
      <c r="M70" s="76" t="s">
        <v>39</v>
      </c>
      <c r="N70" s="77" t="s">
        <v>264</v>
      </c>
      <c r="O70" s="76"/>
      <c r="P70" s="76"/>
      <c r="Q70" s="72"/>
      <c r="R70" s="72"/>
    </row>
    <row r="71" customFormat="false" ht="39" hidden="false" customHeight="true" outlineLevel="1" collapsed="false">
      <c r="A71" s="75" t="n">
        <v>4</v>
      </c>
      <c r="B71" s="76" t="s">
        <v>97</v>
      </c>
      <c r="C71" s="76" t="s">
        <v>52</v>
      </c>
      <c r="D71" s="75" t="s">
        <v>124</v>
      </c>
      <c r="E71" s="76"/>
      <c r="F71" s="76" t="s">
        <v>265</v>
      </c>
      <c r="G71" s="77" t="s">
        <v>266</v>
      </c>
      <c r="H71" s="77" t="s">
        <v>267</v>
      </c>
      <c r="I71" s="76" t="s">
        <v>101</v>
      </c>
      <c r="J71" s="76" t="s">
        <v>148</v>
      </c>
      <c r="K71" s="78" t="n">
        <v>46310</v>
      </c>
      <c r="L71" s="78" t="n">
        <v>46356</v>
      </c>
      <c r="M71" s="76" t="s">
        <v>39</v>
      </c>
      <c r="N71" s="77" t="s">
        <v>268</v>
      </c>
      <c r="O71" s="76"/>
      <c r="P71" s="76"/>
      <c r="Q71" s="72"/>
      <c r="R71" s="72"/>
    </row>
    <row r="72" customFormat="false" ht="39" hidden="false" customHeight="true" outlineLevel="1" collapsed="false">
      <c r="A72" s="75" t="n">
        <v>4</v>
      </c>
      <c r="B72" s="76" t="s">
        <v>97</v>
      </c>
      <c r="C72" s="76" t="s">
        <v>52</v>
      </c>
      <c r="D72" s="75" t="s">
        <v>124</v>
      </c>
      <c r="E72" s="76"/>
      <c r="F72" s="76" t="s">
        <v>269</v>
      </c>
      <c r="G72" s="77" t="s">
        <v>270</v>
      </c>
      <c r="H72" s="77" t="s">
        <v>271</v>
      </c>
      <c r="I72" s="76" t="s">
        <v>101</v>
      </c>
      <c r="J72" s="76" t="s">
        <v>148</v>
      </c>
      <c r="K72" s="78" t="n">
        <v>46327</v>
      </c>
      <c r="L72" s="78" t="n">
        <v>46356</v>
      </c>
      <c r="M72" s="76" t="s">
        <v>39</v>
      </c>
      <c r="N72" s="77" t="s">
        <v>272</v>
      </c>
      <c r="O72" s="76"/>
      <c r="P72" s="76"/>
      <c r="Q72" s="72"/>
      <c r="R72" s="72"/>
    </row>
    <row r="73" customFormat="false" ht="25.5" hidden="false" customHeight="true" outlineLevel="1" collapsed="false">
      <c r="A73" s="75" t="n">
        <v>4</v>
      </c>
      <c r="B73" s="76" t="s">
        <v>97</v>
      </c>
      <c r="C73" s="76" t="s">
        <v>52</v>
      </c>
      <c r="D73" s="75" t="s">
        <v>124</v>
      </c>
      <c r="E73" s="76"/>
      <c r="F73" s="76" t="s">
        <v>273</v>
      </c>
      <c r="G73" s="77" t="s">
        <v>274</v>
      </c>
      <c r="H73" s="77" t="s">
        <v>275</v>
      </c>
      <c r="I73" s="76" t="s">
        <v>101</v>
      </c>
      <c r="J73" s="76" t="s">
        <v>148</v>
      </c>
      <c r="K73" s="78" t="n">
        <v>46296</v>
      </c>
      <c r="L73" s="78" t="n">
        <v>46324</v>
      </c>
      <c r="M73" s="76" t="s">
        <v>39</v>
      </c>
      <c r="N73" s="77" t="s">
        <v>276</v>
      </c>
      <c r="O73" s="76"/>
      <c r="P73" s="76"/>
      <c r="Q73" s="72"/>
      <c r="R73" s="72"/>
    </row>
    <row r="74" customFormat="false" ht="25.5" hidden="false" customHeight="true" outlineLevel="1" collapsed="false">
      <c r="A74" s="75" t="n">
        <v>4</v>
      </c>
      <c r="B74" s="76" t="s">
        <v>97</v>
      </c>
      <c r="C74" s="76" t="s">
        <v>52</v>
      </c>
      <c r="D74" s="75" t="s">
        <v>124</v>
      </c>
      <c r="E74" s="76"/>
      <c r="F74" s="76" t="s">
        <v>277</v>
      </c>
      <c r="G74" s="77" t="s">
        <v>278</v>
      </c>
      <c r="H74" s="77" t="s">
        <v>279</v>
      </c>
      <c r="I74" s="76" t="s">
        <v>101</v>
      </c>
      <c r="J74" s="76" t="s">
        <v>148</v>
      </c>
      <c r="K74" s="78" t="n">
        <v>46327</v>
      </c>
      <c r="L74" s="78" t="n">
        <v>46341</v>
      </c>
      <c r="M74" s="76" t="s">
        <v>39</v>
      </c>
      <c r="N74" s="77" t="s">
        <v>280</v>
      </c>
      <c r="O74" s="76"/>
      <c r="P74" s="76"/>
      <c r="Q74" s="72"/>
      <c r="R74" s="72"/>
    </row>
    <row r="75" customFormat="false" ht="39" hidden="false" customHeight="true" outlineLevel="1" collapsed="false">
      <c r="A75" s="71" t="n">
        <v>3</v>
      </c>
      <c r="B75" s="72" t="s">
        <v>97</v>
      </c>
      <c r="C75" s="72" t="s">
        <v>52</v>
      </c>
      <c r="D75" s="71" t="s">
        <v>124</v>
      </c>
      <c r="E75" s="72"/>
      <c r="F75" s="72" t="s">
        <v>281</v>
      </c>
      <c r="G75" s="73" t="s">
        <v>282</v>
      </c>
      <c r="H75" s="73" t="s">
        <v>283</v>
      </c>
      <c r="I75" s="72" t="s">
        <v>101</v>
      </c>
      <c r="J75" s="72" t="s">
        <v>148</v>
      </c>
      <c r="K75" s="74" t="n">
        <v>46327</v>
      </c>
      <c r="L75" s="74" t="n">
        <v>46376</v>
      </c>
      <c r="M75" s="72" t="s">
        <v>39</v>
      </c>
      <c r="N75" s="73" t="s">
        <v>284</v>
      </c>
      <c r="O75" s="72"/>
      <c r="P75" s="72"/>
      <c r="Q75" s="72"/>
      <c r="R75" s="72"/>
    </row>
    <row r="76" customFormat="false" ht="39" hidden="false" customHeight="true" outlineLevel="1" collapsed="false">
      <c r="A76" s="71" t="n">
        <v>3</v>
      </c>
      <c r="B76" s="72" t="s">
        <v>97</v>
      </c>
      <c r="C76" s="72" t="s">
        <v>52</v>
      </c>
      <c r="D76" s="71" t="s">
        <v>124</v>
      </c>
      <c r="E76" s="72"/>
      <c r="F76" s="72" t="s">
        <v>285</v>
      </c>
      <c r="G76" s="73" t="s">
        <v>286</v>
      </c>
      <c r="H76" s="73" t="s">
        <v>287</v>
      </c>
      <c r="I76" s="72" t="s">
        <v>101</v>
      </c>
      <c r="J76" s="72" t="s">
        <v>148</v>
      </c>
      <c r="K76" s="74" t="n">
        <v>46296</v>
      </c>
      <c r="L76" s="74" t="n">
        <v>46376</v>
      </c>
      <c r="M76" s="72" t="s">
        <v>39</v>
      </c>
      <c r="N76" s="73" t="s">
        <v>288</v>
      </c>
      <c r="O76" s="72"/>
      <c r="P76" s="72"/>
      <c r="Q76" s="72"/>
      <c r="R76" s="72"/>
    </row>
    <row r="77" customFormat="false" ht="64.5" hidden="false" customHeight="true" outlineLevel="1" collapsed="false">
      <c r="A77" s="71" t="n">
        <v>3</v>
      </c>
      <c r="B77" s="72" t="s">
        <v>97</v>
      </c>
      <c r="C77" s="72" t="s">
        <v>52</v>
      </c>
      <c r="D77" s="71" t="s">
        <v>124</v>
      </c>
      <c r="E77" s="72"/>
      <c r="F77" s="72" t="s">
        <v>289</v>
      </c>
      <c r="G77" s="73" t="s">
        <v>290</v>
      </c>
      <c r="H77" s="73" t="s">
        <v>291</v>
      </c>
      <c r="I77" s="72" t="s">
        <v>101</v>
      </c>
      <c r="J77" s="72" t="s">
        <v>148</v>
      </c>
      <c r="K77" s="74" t="n">
        <v>46357</v>
      </c>
      <c r="L77" s="74" t="n">
        <v>46428</v>
      </c>
      <c r="M77" s="72" t="s">
        <v>39</v>
      </c>
      <c r="N77" s="73" t="s">
        <v>292</v>
      </c>
      <c r="O77" s="72"/>
      <c r="P77" s="72"/>
      <c r="Q77" s="72"/>
      <c r="R77" s="72"/>
    </row>
    <row r="78" customFormat="false" ht="39" hidden="false" customHeight="true" outlineLevel="1" collapsed="false">
      <c r="A78" s="71" t="n">
        <v>3</v>
      </c>
      <c r="B78" s="72" t="s">
        <v>97</v>
      </c>
      <c r="C78" s="72" t="s">
        <v>52</v>
      </c>
      <c r="D78" s="71" t="s">
        <v>124</v>
      </c>
      <c r="E78" s="72"/>
      <c r="F78" s="72" t="s">
        <v>293</v>
      </c>
      <c r="G78" s="73" t="s">
        <v>294</v>
      </c>
      <c r="H78" s="73" t="s">
        <v>295</v>
      </c>
      <c r="I78" s="72" t="s">
        <v>101</v>
      </c>
      <c r="J78" s="72" t="s">
        <v>148</v>
      </c>
      <c r="K78" s="74" t="n">
        <v>46357</v>
      </c>
      <c r="L78" s="74" t="n">
        <v>46418</v>
      </c>
      <c r="M78" s="72" t="s">
        <v>39</v>
      </c>
      <c r="N78" s="73" t="s">
        <v>296</v>
      </c>
      <c r="O78" s="72"/>
      <c r="P78" s="72"/>
      <c r="Q78" s="72"/>
      <c r="R78" s="72"/>
    </row>
    <row r="79" customFormat="false" ht="25.5" hidden="false" customHeight="true" outlineLevel="1" collapsed="false">
      <c r="A79" s="71" t="n">
        <v>3</v>
      </c>
      <c r="B79" s="72" t="s">
        <v>97</v>
      </c>
      <c r="C79" s="72" t="s">
        <v>52</v>
      </c>
      <c r="D79" s="71" t="s">
        <v>124</v>
      </c>
      <c r="E79" s="72"/>
      <c r="F79" s="72" t="s">
        <v>297</v>
      </c>
      <c r="G79" s="73" t="s">
        <v>298</v>
      </c>
      <c r="H79" s="73" t="s">
        <v>299</v>
      </c>
      <c r="I79" s="72" t="s">
        <v>101</v>
      </c>
      <c r="J79" s="72" t="s">
        <v>148</v>
      </c>
      <c r="K79" s="74" t="n">
        <v>46392</v>
      </c>
      <c r="L79" s="74" t="n">
        <v>46428</v>
      </c>
      <c r="M79" s="72" t="s">
        <v>39</v>
      </c>
      <c r="N79" s="73" t="s">
        <v>300</v>
      </c>
      <c r="O79" s="72"/>
      <c r="P79" s="72"/>
      <c r="Q79" s="72"/>
      <c r="R79" s="72"/>
    </row>
    <row r="80" customFormat="false" ht="64.5" hidden="false" customHeight="true" outlineLevel="0" collapsed="false">
      <c r="A80" s="66" t="n">
        <v>2</v>
      </c>
      <c r="B80" s="67" t="s">
        <v>97</v>
      </c>
      <c r="C80" s="67" t="s">
        <v>52</v>
      </c>
      <c r="D80" s="66" t="s">
        <v>124</v>
      </c>
      <c r="E80" s="67"/>
      <c r="F80" s="67" t="s">
        <v>301</v>
      </c>
      <c r="G80" s="68" t="s">
        <v>302</v>
      </c>
      <c r="H80" s="68" t="s">
        <v>303</v>
      </c>
      <c r="I80" s="67" t="s">
        <v>101</v>
      </c>
      <c r="J80" s="67" t="s">
        <v>148</v>
      </c>
      <c r="K80" s="69" t="n">
        <v>46266</v>
      </c>
      <c r="L80" s="69" t="n">
        <v>46446</v>
      </c>
      <c r="M80" s="67" t="s">
        <v>39</v>
      </c>
      <c r="N80" s="68" t="s">
        <v>304</v>
      </c>
      <c r="O80" s="72"/>
      <c r="P80" s="72"/>
      <c r="Q80" s="72"/>
      <c r="R80" s="72"/>
    </row>
    <row r="81" customFormat="false" ht="39" hidden="false" customHeight="true" outlineLevel="1" collapsed="false">
      <c r="A81" s="71" t="n">
        <v>3</v>
      </c>
      <c r="B81" s="72" t="s">
        <v>97</v>
      </c>
      <c r="C81" s="72" t="s">
        <v>52</v>
      </c>
      <c r="D81" s="71" t="s">
        <v>124</v>
      </c>
      <c r="E81" s="72"/>
      <c r="F81" s="72" t="s">
        <v>305</v>
      </c>
      <c r="G81" s="73" t="s">
        <v>306</v>
      </c>
      <c r="H81" s="73" t="s">
        <v>307</v>
      </c>
      <c r="I81" s="72" t="s">
        <v>101</v>
      </c>
      <c r="J81" s="72" t="s">
        <v>148</v>
      </c>
      <c r="K81" s="74" t="n">
        <v>46266</v>
      </c>
      <c r="L81" s="74" t="n">
        <v>46326</v>
      </c>
      <c r="M81" s="72" t="s">
        <v>39</v>
      </c>
      <c r="N81" s="73" t="s">
        <v>308</v>
      </c>
      <c r="O81" s="72"/>
      <c r="P81" s="72"/>
      <c r="Q81" s="72"/>
      <c r="R81" s="72"/>
    </row>
    <row r="82" customFormat="false" ht="39" hidden="false" customHeight="true" outlineLevel="1" collapsed="false">
      <c r="A82" s="75" t="n">
        <v>4</v>
      </c>
      <c r="B82" s="76" t="s">
        <v>97</v>
      </c>
      <c r="C82" s="76" t="s">
        <v>52</v>
      </c>
      <c r="D82" s="75" t="s">
        <v>124</v>
      </c>
      <c r="E82" s="76"/>
      <c r="F82" s="76" t="s">
        <v>309</v>
      </c>
      <c r="G82" s="77" t="s">
        <v>310</v>
      </c>
      <c r="H82" s="77" t="s">
        <v>311</v>
      </c>
      <c r="I82" s="76" t="s">
        <v>101</v>
      </c>
      <c r="J82" s="76" t="s">
        <v>148</v>
      </c>
      <c r="K82" s="78" t="n">
        <v>46266</v>
      </c>
      <c r="L82" s="78" t="n">
        <v>46295</v>
      </c>
      <c r="M82" s="76" t="s">
        <v>39</v>
      </c>
      <c r="N82" s="77"/>
      <c r="O82" s="72"/>
      <c r="P82" s="72"/>
      <c r="Q82" s="72"/>
      <c r="R82" s="72"/>
    </row>
    <row r="83" customFormat="false" ht="25.5" hidden="false" customHeight="true" outlineLevel="1" collapsed="false">
      <c r="A83" s="75" t="n">
        <v>4</v>
      </c>
      <c r="B83" s="76" t="s">
        <v>97</v>
      </c>
      <c r="C83" s="76" t="s">
        <v>52</v>
      </c>
      <c r="D83" s="75" t="s">
        <v>124</v>
      </c>
      <c r="E83" s="76"/>
      <c r="F83" s="76" t="s">
        <v>312</v>
      </c>
      <c r="G83" s="77" t="s">
        <v>313</v>
      </c>
      <c r="H83" s="77" t="s">
        <v>314</v>
      </c>
      <c r="I83" s="76" t="s">
        <v>101</v>
      </c>
      <c r="J83" s="76" t="s">
        <v>148</v>
      </c>
      <c r="K83" s="78" t="n">
        <v>46285</v>
      </c>
      <c r="L83" s="78" t="n">
        <v>46315</v>
      </c>
      <c r="M83" s="76" t="s">
        <v>39</v>
      </c>
      <c r="N83" s="77"/>
      <c r="O83" s="72"/>
      <c r="P83" s="72"/>
      <c r="Q83" s="72"/>
      <c r="R83" s="72"/>
    </row>
    <row r="84" customFormat="false" ht="25.5" hidden="false" customHeight="true" outlineLevel="1" collapsed="false">
      <c r="A84" s="75" t="n">
        <v>4</v>
      </c>
      <c r="B84" s="76" t="s">
        <v>97</v>
      </c>
      <c r="C84" s="76" t="s">
        <v>52</v>
      </c>
      <c r="D84" s="75" t="s">
        <v>124</v>
      </c>
      <c r="E84" s="76"/>
      <c r="F84" s="76" t="s">
        <v>315</v>
      </c>
      <c r="G84" s="77" t="s">
        <v>316</v>
      </c>
      <c r="H84" s="77" t="s">
        <v>317</v>
      </c>
      <c r="I84" s="76" t="s">
        <v>101</v>
      </c>
      <c r="J84" s="76" t="s">
        <v>148</v>
      </c>
      <c r="K84" s="78" t="n">
        <v>46296</v>
      </c>
      <c r="L84" s="78" t="n">
        <v>46326</v>
      </c>
      <c r="M84" s="76" t="s">
        <v>39</v>
      </c>
      <c r="N84" s="77" t="s">
        <v>318</v>
      </c>
      <c r="O84" s="72"/>
      <c r="P84" s="72"/>
      <c r="Q84" s="72"/>
      <c r="R84" s="72"/>
    </row>
    <row r="85" customFormat="false" ht="51.75" hidden="false" customHeight="true" outlineLevel="1" collapsed="false">
      <c r="A85" s="71" t="n">
        <v>3</v>
      </c>
      <c r="B85" s="72" t="s">
        <v>97</v>
      </c>
      <c r="C85" s="72" t="s">
        <v>52</v>
      </c>
      <c r="D85" s="71" t="s">
        <v>124</v>
      </c>
      <c r="E85" s="72"/>
      <c r="F85" s="72" t="s">
        <v>319</v>
      </c>
      <c r="G85" s="73" t="s">
        <v>320</v>
      </c>
      <c r="H85" s="73" t="s">
        <v>321</v>
      </c>
      <c r="I85" s="72" t="s">
        <v>101</v>
      </c>
      <c r="J85" s="72" t="s">
        <v>148</v>
      </c>
      <c r="K85" s="74" t="n">
        <v>46296</v>
      </c>
      <c r="L85" s="74" t="n">
        <v>46356</v>
      </c>
      <c r="M85" s="72" t="s">
        <v>39</v>
      </c>
      <c r="N85" s="73" t="s">
        <v>322</v>
      </c>
      <c r="O85" s="72"/>
      <c r="P85" s="72"/>
      <c r="Q85" s="72"/>
      <c r="R85" s="72"/>
    </row>
    <row r="86" customFormat="false" ht="51.75" hidden="false" customHeight="true" outlineLevel="1" collapsed="false">
      <c r="A86" s="71" t="n">
        <v>3</v>
      </c>
      <c r="B86" s="72" t="s">
        <v>97</v>
      </c>
      <c r="C86" s="72" t="s">
        <v>52</v>
      </c>
      <c r="D86" s="71" t="s">
        <v>124</v>
      </c>
      <c r="E86" s="72"/>
      <c r="F86" s="72" t="s">
        <v>323</v>
      </c>
      <c r="G86" s="73" t="s">
        <v>324</v>
      </c>
      <c r="H86" s="73" t="s">
        <v>325</v>
      </c>
      <c r="I86" s="72" t="s">
        <v>101</v>
      </c>
      <c r="J86" s="72" t="s">
        <v>148</v>
      </c>
      <c r="K86" s="74" t="n">
        <v>46296</v>
      </c>
      <c r="L86" s="74" t="n">
        <v>46356</v>
      </c>
      <c r="M86" s="72" t="s">
        <v>39</v>
      </c>
      <c r="N86" s="73" t="s">
        <v>326</v>
      </c>
      <c r="O86" s="72"/>
      <c r="P86" s="72"/>
      <c r="Q86" s="72"/>
      <c r="R86" s="72"/>
    </row>
    <row r="87" customFormat="false" ht="39" hidden="false" customHeight="true" outlineLevel="1" collapsed="false">
      <c r="A87" s="71" t="n">
        <v>3</v>
      </c>
      <c r="B87" s="72" t="s">
        <v>97</v>
      </c>
      <c r="C87" s="72" t="s">
        <v>52</v>
      </c>
      <c r="D87" s="71" t="s">
        <v>124</v>
      </c>
      <c r="E87" s="72"/>
      <c r="F87" s="72" t="s">
        <v>327</v>
      </c>
      <c r="G87" s="73" t="s">
        <v>328</v>
      </c>
      <c r="H87" s="73" t="s">
        <v>329</v>
      </c>
      <c r="I87" s="72" t="s">
        <v>101</v>
      </c>
      <c r="J87" s="72" t="s">
        <v>148</v>
      </c>
      <c r="K87" s="74" t="n">
        <v>46327</v>
      </c>
      <c r="L87" s="74" t="n">
        <v>46387</v>
      </c>
      <c r="M87" s="72" t="s">
        <v>39</v>
      </c>
      <c r="N87" s="73" t="s">
        <v>330</v>
      </c>
      <c r="O87" s="72"/>
      <c r="P87" s="72"/>
      <c r="Q87" s="72"/>
      <c r="R87" s="72"/>
    </row>
    <row r="88" customFormat="false" ht="39" hidden="false" customHeight="true" outlineLevel="1" collapsed="false">
      <c r="A88" s="71" t="n">
        <v>3</v>
      </c>
      <c r="B88" s="72" t="s">
        <v>97</v>
      </c>
      <c r="C88" s="72" t="s">
        <v>52</v>
      </c>
      <c r="D88" s="71" t="s">
        <v>124</v>
      </c>
      <c r="E88" s="72"/>
      <c r="F88" s="72" t="s">
        <v>331</v>
      </c>
      <c r="G88" s="73" t="s">
        <v>332</v>
      </c>
      <c r="H88" s="73" t="s">
        <v>333</v>
      </c>
      <c r="I88" s="72" t="s">
        <v>101</v>
      </c>
      <c r="J88" s="72" t="s">
        <v>148</v>
      </c>
      <c r="K88" s="74" t="n">
        <v>46296</v>
      </c>
      <c r="L88" s="74" t="n">
        <v>46387</v>
      </c>
      <c r="M88" s="72" t="s">
        <v>39</v>
      </c>
      <c r="N88" s="73" t="s">
        <v>334</v>
      </c>
      <c r="O88" s="72"/>
      <c r="P88" s="72"/>
      <c r="Q88" s="72"/>
      <c r="R88" s="72"/>
    </row>
    <row r="89" customFormat="false" ht="51.75" hidden="false" customHeight="true" outlineLevel="1" collapsed="false">
      <c r="A89" s="71" t="n">
        <v>3</v>
      </c>
      <c r="B89" s="72" t="s">
        <v>97</v>
      </c>
      <c r="C89" s="72" t="s">
        <v>52</v>
      </c>
      <c r="D89" s="71" t="s">
        <v>124</v>
      </c>
      <c r="E89" s="72"/>
      <c r="F89" s="72" t="s">
        <v>335</v>
      </c>
      <c r="G89" s="73" t="s">
        <v>336</v>
      </c>
      <c r="H89" s="73" t="s">
        <v>337</v>
      </c>
      <c r="I89" s="72" t="s">
        <v>101</v>
      </c>
      <c r="J89" s="72" t="s">
        <v>148</v>
      </c>
      <c r="K89" s="74" t="n">
        <v>46327</v>
      </c>
      <c r="L89" s="74" t="n">
        <v>46418</v>
      </c>
      <c r="M89" s="72" t="s">
        <v>39</v>
      </c>
      <c r="N89" s="73" t="s">
        <v>338</v>
      </c>
      <c r="O89" s="72"/>
      <c r="P89" s="72"/>
      <c r="Q89" s="72"/>
      <c r="R89" s="72"/>
    </row>
    <row r="90" customFormat="false" ht="25.5" hidden="false" customHeight="true" outlineLevel="1" collapsed="false">
      <c r="A90" s="71" t="n">
        <v>3</v>
      </c>
      <c r="B90" s="72" t="s">
        <v>97</v>
      </c>
      <c r="C90" s="72" t="s">
        <v>52</v>
      </c>
      <c r="D90" s="71" t="s">
        <v>124</v>
      </c>
      <c r="E90" s="72"/>
      <c r="F90" s="72" t="s">
        <v>339</v>
      </c>
      <c r="G90" s="73" t="s">
        <v>340</v>
      </c>
      <c r="H90" s="73" t="s">
        <v>341</v>
      </c>
      <c r="I90" s="72" t="s">
        <v>101</v>
      </c>
      <c r="J90" s="72" t="s">
        <v>148</v>
      </c>
      <c r="K90" s="74" t="n">
        <v>46402</v>
      </c>
      <c r="L90" s="74" t="n">
        <v>46446</v>
      </c>
      <c r="M90" s="72" t="s">
        <v>39</v>
      </c>
      <c r="N90" s="73" t="s">
        <v>342</v>
      </c>
      <c r="O90" s="72"/>
      <c r="P90" s="72"/>
      <c r="Q90" s="72"/>
      <c r="R90" s="72"/>
    </row>
    <row r="91" customFormat="false" ht="39" hidden="false" customHeight="true" outlineLevel="0" collapsed="false">
      <c r="A91" s="66" t="n">
        <v>2</v>
      </c>
      <c r="B91" s="67" t="s">
        <v>97</v>
      </c>
      <c r="C91" s="67" t="s">
        <v>52</v>
      </c>
      <c r="D91" s="66" t="s">
        <v>124</v>
      </c>
      <c r="E91" s="67"/>
      <c r="F91" s="68" t="s">
        <v>343</v>
      </c>
      <c r="G91" s="68" t="s">
        <v>344</v>
      </c>
      <c r="H91" s="68" t="s">
        <v>345</v>
      </c>
      <c r="I91" s="69" t="s">
        <v>101</v>
      </c>
      <c r="J91" s="69" t="s">
        <v>148</v>
      </c>
      <c r="K91" s="69" t="n">
        <v>46249</v>
      </c>
      <c r="L91" s="69" t="n">
        <v>46433</v>
      </c>
      <c r="M91" s="67" t="s">
        <v>39</v>
      </c>
      <c r="N91" s="67"/>
      <c r="O91" s="67"/>
      <c r="P91" s="67"/>
      <c r="Q91" s="67"/>
      <c r="R91" s="68"/>
      <c r="S91" s="68"/>
      <c r="T91" s="67"/>
      <c r="U91" s="69"/>
      <c r="V91" s="69"/>
      <c r="W91" s="67"/>
      <c r="X91" s="68"/>
    </row>
    <row r="92" customFormat="false" ht="39" hidden="false" customHeight="true" outlineLevel="1" collapsed="false">
      <c r="A92" s="71" t="n">
        <v>3</v>
      </c>
      <c r="B92" s="72" t="s">
        <v>97</v>
      </c>
      <c r="C92" s="72" t="s">
        <v>52</v>
      </c>
      <c r="D92" s="71" t="s">
        <v>124</v>
      </c>
      <c r="E92" s="72"/>
      <c r="F92" s="72" t="s">
        <v>346</v>
      </c>
      <c r="G92" s="73" t="s">
        <v>347</v>
      </c>
      <c r="H92" s="73" t="s">
        <v>348</v>
      </c>
      <c r="I92" s="72" t="s">
        <v>101</v>
      </c>
      <c r="J92" s="72" t="s">
        <v>148</v>
      </c>
      <c r="K92" s="74" t="n">
        <v>46249</v>
      </c>
      <c r="L92" s="74" t="n">
        <v>46295</v>
      </c>
      <c r="M92" s="72" t="s">
        <v>34</v>
      </c>
      <c r="N92" s="73" t="s">
        <v>349</v>
      </c>
      <c r="O92" s="72"/>
      <c r="P92" s="72"/>
      <c r="Q92" s="72"/>
      <c r="R92" s="72"/>
    </row>
    <row r="93" customFormat="false" ht="25.5" hidden="false" customHeight="true" outlineLevel="1" collapsed="false">
      <c r="A93" s="75" t="n">
        <v>4</v>
      </c>
      <c r="B93" s="76" t="s">
        <v>97</v>
      </c>
      <c r="C93" s="76" t="s">
        <v>52</v>
      </c>
      <c r="D93" s="75" t="s">
        <v>124</v>
      </c>
      <c r="E93" s="76"/>
      <c r="F93" s="76" t="s">
        <v>350</v>
      </c>
      <c r="G93" s="77" t="s">
        <v>351</v>
      </c>
      <c r="H93" s="77" t="s">
        <v>352</v>
      </c>
      <c r="I93" s="76" t="s">
        <v>101</v>
      </c>
      <c r="J93" s="76" t="s">
        <v>148</v>
      </c>
      <c r="K93" s="78" t="n">
        <v>46249</v>
      </c>
      <c r="L93" s="78" t="n">
        <v>46275</v>
      </c>
      <c r="M93" s="76" t="s">
        <v>34</v>
      </c>
      <c r="N93" s="77"/>
      <c r="O93" s="72"/>
      <c r="P93" s="72"/>
      <c r="Q93" s="72"/>
      <c r="R93" s="72"/>
    </row>
    <row r="94" customFormat="false" ht="25.5" hidden="false" customHeight="true" outlineLevel="1" collapsed="false">
      <c r="A94" s="75" t="n">
        <v>4</v>
      </c>
      <c r="B94" s="76" t="s">
        <v>97</v>
      </c>
      <c r="C94" s="76" t="s">
        <v>52</v>
      </c>
      <c r="D94" s="75" t="s">
        <v>124</v>
      </c>
      <c r="E94" s="76"/>
      <c r="F94" s="76" t="s">
        <v>353</v>
      </c>
      <c r="G94" s="77" t="s">
        <v>354</v>
      </c>
      <c r="H94" s="77" t="s">
        <v>355</v>
      </c>
      <c r="I94" s="76" t="s">
        <v>101</v>
      </c>
      <c r="J94" s="76" t="s">
        <v>148</v>
      </c>
      <c r="K94" s="78" t="n">
        <v>46266</v>
      </c>
      <c r="L94" s="78" t="n">
        <v>46290</v>
      </c>
      <c r="M94" s="76" t="s">
        <v>39</v>
      </c>
      <c r="N94" s="77"/>
      <c r="O94" s="72"/>
      <c r="P94" s="72"/>
      <c r="Q94" s="72"/>
      <c r="R94" s="72"/>
    </row>
    <row r="95" customFormat="false" ht="25.5" hidden="false" customHeight="true" outlineLevel="1" collapsed="false">
      <c r="A95" s="75" t="n">
        <v>4</v>
      </c>
      <c r="B95" s="76" t="s">
        <v>97</v>
      </c>
      <c r="C95" s="76" t="s">
        <v>52</v>
      </c>
      <c r="D95" s="75" t="s">
        <v>124</v>
      </c>
      <c r="E95" s="76"/>
      <c r="F95" s="76" t="s">
        <v>356</v>
      </c>
      <c r="G95" s="77" t="s">
        <v>357</v>
      </c>
      <c r="H95" s="77" t="s">
        <v>358</v>
      </c>
      <c r="I95" s="76" t="s">
        <v>101</v>
      </c>
      <c r="J95" s="76" t="s">
        <v>148</v>
      </c>
      <c r="K95" s="78" t="n">
        <v>46285</v>
      </c>
      <c r="L95" s="78" t="n">
        <v>46295</v>
      </c>
      <c r="M95" s="76" t="s">
        <v>39</v>
      </c>
      <c r="N95" s="77" t="s">
        <v>359</v>
      </c>
      <c r="O95" s="72"/>
      <c r="P95" s="72"/>
      <c r="Q95" s="72"/>
      <c r="R95" s="72"/>
    </row>
    <row r="96" customFormat="false" ht="25.5" hidden="false" customHeight="true" outlineLevel="1" collapsed="false">
      <c r="A96" s="71" t="n">
        <v>3</v>
      </c>
      <c r="B96" s="72" t="s">
        <v>97</v>
      </c>
      <c r="C96" s="72" t="s">
        <v>52</v>
      </c>
      <c r="D96" s="71" t="s">
        <v>124</v>
      </c>
      <c r="E96" s="72"/>
      <c r="F96" s="72" t="s">
        <v>360</v>
      </c>
      <c r="G96" s="73" t="s">
        <v>361</v>
      </c>
      <c r="H96" s="73" t="s">
        <v>362</v>
      </c>
      <c r="I96" s="72" t="s">
        <v>101</v>
      </c>
      <c r="J96" s="72" t="s">
        <v>148</v>
      </c>
      <c r="K96" s="74" t="n">
        <v>46280</v>
      </c>
      <c r="L96" s="74" t="n">
        <v>46326</v>
      </c>
      <c r="M96" s="72" t="s">
        <v>39</v>
      </c>
      <c r="N96" s="73" t="s">
        <v>363</v>
      </c>
      <c r="O96" s="72"/>
      <c r="P96" s="72"/>
      <c r="Q96" s="72"/>
      <c r="R96" s="72"/>
    </row>
    <row r="97" customFormat="false" ht="39" hidden="false" customHeight="true" outlineLevel="1" collapsed="false">
      <c r="A97" s="71" t="n">
        <v>3</v>
      </c>
      <c r="B97" s="72" t="s">
        <v>97</v>
      </c>
      <c r="C97" s="72" t="s">
        <v>52</v>
      </c>
      <c r="D97" s="71" t="s">
        <v>124</v>
      </c>
      <c r="E97" s="72"/>
      <c r="F97" s="72" t="s">
        <v>364</v>
      </c>
      <c r="G97" s="73" t="s">
        <v>365</v>
      </c>
      <c r="H97" s="73" t="s">
        <v>366</v>
      </c>
      <c r="I97" s="72" t="s">
        <v>101</v>
      </c>
      <c r="J97" s="72" t="s">
        <v>148</v>
      </c>
      <c r="K97" s="74" t="n">
        <v>46296</v>
      </c>
      <c r="L97" s="74" t="n">
        <v>46356</v>
      </c>
      <c r="M97" s="72" t="s">
        <v>39</v>
      </c>
      <c r="N97" s="73" t="s">
        <v>367</v>
      </c>
      <c r="O97" s="72"/>
      <c r="P97" s="72"/>
      <c r="Q97" s="72"/>
      <c r="R97" s="72"/>
    </row>
    <row r="98" customFormat="false" ht="25.5" hidden="false" customHeight="true" outlineLevel="1" collapsed="false">
      <c r="A98" s="75" t="n">
        <v>4</v>
      </c>
      <c r="B98" s="76" t="s">
        <v>97</v>
      </c>
      <c r="C98" s="76" t="s">
        <v>52</v>
      </c>
      <c r="D98" s="75" t="s">
        <v>124</v>
      </c>
      <c r="E98" s="76"/>
      <c r="F98" s="76" t="s">
        <v>368</v>
      </c>
      <c r="G98" s="77" t="s">
        <v>369</v>
      </c>
      <c r="H98" s="77" t="s">
        <v>370</v>
      </c>
      <c r="I98" s="76" t="s">
        <v>101</v>
      </c>
      <c r="J98" s="76" t="s">
        <v>148</v>
      </c>
      <c r="K98" s="78" t="n">
        <v>46310</v>
      </c>
      <c r="L98" s="78" t="n">
        <v>46356</v>
      </c>
      <c r="M98" s="76" t="s">
        <v>39</v>
      </c>
      <c r="N98" s="77" t="s">
        <v>371</v>
      </c>
      <c r="O98" s="72"/>
      <c r="P98" s="72"/>
      <c r="Q98" s="72"/>
      <c r="R98" s="72"/>
    </row>
    <row r="99" customFormat="false" ht="25.5" hidden="false" customHeight="true" outlineLevel="1" collapsed="false">
      <c r="A99" s="71" t="n">
        <v>3</v>
      </c>
      <c r="B99" s="72" t="s">
        <v>97</v>
      </c>
      <c r="C99" s="72" t="s">
        <v>52</v>
      </c>
      <c r="D99" s="71" t="s">
        <v>124</v>
      </c>
      <c r="E99" s="72"/>
      <c r="F99" s="72" t="s">
        <v>372</v>
      </c>
      <c r="G99" s="73" t="s">
        <v>373</v>
      </c>
      <c r="H99" s="73" t="s">
        <v>374</v>
      </c>
      <c r="I99" s="72" t="s">
        <v>101</v>
      </c>
      <c r="J99" s="72" t="s">
        <v>148</v>
      </c>
      <c r="K99" s="74" t="n">
        <v>46327</v>
      </c>
      <c r="L99" s="74" t="n">
        <v>46387</v>
      </c>
      <c r="M99" s="72" t="s">
        <v>39</v>
      </c>
      <c r="N99" s="73" t="s">
        <v>375</v>
      </c>
      <c r="O99" s="72"/>
      <c r="P99" s="72"/>
      <c r="Q99" s="72"/>
      <c r="R99" s="72"/>
    </row>
    <row r="100" customFormat="false" ht="51.75" hidden="false" customHeight="true" outlineLevel="1" collapsed="false">
      <c r="A100" s="71" t="n">
        <v>3</v>
      </c>
      <c r="B100" s="72" t="s">
        <v>97</v>
      </c>
      <c r="C100" s="72" t="s">
        <v>52</v>
      </c>
      <c r="D100" s="71" t="s">
        <v>124</v>
      </c>
      <c r="E100" s="72"/>
      <c r="F100" s="72" t="s">
        <v>376</v>
      </c>
      <c r="G100" s="73" t="s">
        <v>377</v>
      </c>
      <c r="H100" s="73" t="s">
        <v>378</v>
      </c>
      <c r="I100" s="72" t="s">
        <v>101</v>
      </c>
      <c r="J100" s="72" t="s">
        <v>148</v>
      </c>
      <c r="K100" s="74" t="n">
        <v>46327</v>
      </c>
      <c r="L100" s="74" t="n">
        <v>46418</v>
      </c>
      <c r="M100" s="72" t="s">
        <v>39</v>
      </c>
      <c r="N100" s="73" t="s">
        <v>379</v>
      </c>
      <c r="O100" s="72"/>
      <c r="P100" s="72"/>
      <c r="Q100" s="72"/>
      <c r="R100" s="72"/>
    </row>
    <row r="101" customFormat="false" ht="25.5" hidden="false" customHeight="true" outlineLevel="1" collapsed="false">
      <c r="A101" s="71" t="n">
        <v>3</v>
      </c>
      <c r="B101" s="72" t="s">
        <v>97</v>
      </c>
      <c r="C101" s="72" t="s">
        <v>52</v>
      </c>
      <c r="D101" s="71" t="s">
        <v>124</v>
      </c>
      <c r="E101" s="72"/>
      <c r="F101" s="72" t="s">
        <v>380</v>
      </c>
      <c r="G101" s="73" t="s">
        <v>381</v>
      </c>
      <c r="H101" s="73" t="s">
        <v>382</v>
      </c>
      <c r="I101" s="72" t="s">
        <v>101</v>
      </c>
      <c r="J101" s="72" t="s">
        <v>148</v>
      </c>
      <c r="K101" s="74" t="n">
        <v>46357</v>
      </c>
      <c r="L101" s="74" t="n">
        <v>46418</v>
      </c>
      <c r="M101" s="72" t="s">
        <v>39</v>
      </c>
      <c r="N101" s="73" t="s">
        <v>383</v>
      </c>
      <c r="O101" s="72"/>
      <c r="P101" s="72"/>
      <c r="Q101" s="72"/>
      <c r="R101" s="72"/>
    </row>
    <row r="102" customFormat="false" ht="51.75" hidden="false" customHeight="true" outlineLevel="1" collapsed="false">
      <c r="A102" s="71" t="n">
        <v>3</v>
      </c>
      <c r="B102" s="72" t="s">
        <v>97</v>
      </c>
      <c r="C102" s="72" t="s">
        <v>52</v>
      </c>
      <c r="D102" s="71" t="s">
        <v>124</v>
      </c>
      <c r="E102" s="72"/>
      <c r="F102" s="72" t="s">
        <v>384</v>
      </c>
      <c r="G102" s="73" t="s">
        <v>385</v>
      </c>
      <c r="H102" s="73" t="s">
        <v>386</v>
      </c>
      <c r="I102" s="72" t="s">
        <v>101</v>
      </c>
      <c r="J102" s="72" t="s">
        <v>148</v>
      </c>
      <c r="K102" s="74" t="n">
        <v>46249</v>
      </c>
      <c r="L102" s="74" t="n">
        <v>46446</v>
      </c>
      <c r="M102" s="72" t="s">
        <v>39</v>
      </c>
      <c r="N102" s="73" t="s">
        <v>387</v>
      </c>
      <c r="O102" s="72"/>
      <c r="P102" s="72"/>
      <c r="Q102" s="72"/>
      <c r="R102" s="72"/>
    </row>
    <row r="103" customFormat="false" ht="25.5" hidden="false" customHeight="true" outlineLevel="1" collapsed="false">
      <c r="A103" s="75" t="n">
        <v>4</v>
      </c>
      <c r="B103" s="76" t="s">
        <v>97</v>
      </c>
      <c r="C103" s="76" t="s">
        <v>52</v>
      </c>
      <c r="D103" s="75" t="s">
        <v>124</v>
      </c>
      <c r="E103" s="76"/>
      <c r="F103" s="76" t="s">
        <v>388</v>
      </c>
      <c r="G103" s="77" t="s">
        <v>389</v>
      </c>
      <c r="H103" s="77" t="s">
        <v>390</v>
      </c>
      <c r="I103" s="76" t="s">
        <v>101</v>
      </c>
      <c r="J103" s="76" t="s">
        <v>148</v>
      </c>
      <c r="K103" s="78" t="n">
        <v>46249</v>
      </c>
      <c r="L103" s="78" t="n">
        <v>46326</v>
      </c>
      <c r="M103" s="76" t="s">
        <v>39</v>
      </c>
      <c r="N103" s="77"/>
      <c r="O103" s="72"/>
      <c r="P103" s="72"/>
      <c r="Q103" s="72"/>
      <c r="R103" s="72"/>
    </row>
    <row r="104" customFormat="false" ht="25.5" hidden="false" customHeight="true" outlineLevel="1" collapsed="false">
      <c r="A104" s="75" t="n">
        <v>4</v>
      </c>
      <c r="B104" s="76" t="s">
        <v>97</v>
      </c>
      <c r="C104" s="76" t="s">
        <v>52</v>
      </c>
      <c r="D104" s="75" t="s">
        <v>124</v>
      </c>
      <c r="E104" s="76"/>
      <c r="F104" s="76" t="s">
        <v>391</v>
      </c>
      <c r="G104" s="77" t="s">
        <v>392</v>
      </c>
      <c r="H104" s="77" t="s">
        <v>393</v>
      </c>
      <c r="I104" s="76" t="s">
        <v>101</v>
      </c>
      <c r="J104" s="76" t="s">
        <v>148</v>
      </c>
      <c r="K104" s="78" t="n">
        <v>46296</v>
      </c>
      <c r="L104" s="78" t="n">
        <v>46356</v>
      </c>
      <c r="M104" s="76" t="s">
        <v>39</v>
      </c>
      <c r="N104" s="77"/>
      <c r="O104" s="72"/>
      <c r="P104" s="72"/>
      <c r="Q104" s="72"/>
      <c r="R104" s="72"/>
    </row>
    <row r="105" customFormat="false" ht="25.5" hidden="false" customHeight="true" outlineLevel="1" collapsed="false">
      <c r="A105" s="75" t="n">
        <v>4</v>
      </c>
      <c r="B105" s="76" t="s">
        <v>97</v>
      </c>
      <c r="C105" s="76" t="s">
        <v>52</v>
      </c>
      <c r="D105" s="75" t="s">
        <v>124</v>
      </c>
      <c r="E105" s="76"/>
      <c r="F105" s="76" t="s">
        <v>394</v>
      </c>
      <c r="G105" s="77" t="s">
        <v>395</v>
      </c>
      <c r="H105" s="77" t="s">
        <v>396</v>
      </c>
      <c r="I105" s="76" t="s">
        <v>101</v>
      </c>
      <c r="J105" s="76" t="s">
        <v>148</v>
      </c>
      <c r="K105" s="78" t="n">
        <v>46357</v>
      </c>
      <c r="L105" s="78" t="n">
        <v>46418</v>
      </c>
      <c r="M105" s="76" t="s">
        <v>39</v>
      </c>
      <c r="N105" s="77" t="s">
        <v>397</v>
      </c>
      <c r="O105" s="72"/>
      <c r="P105" s="72"/>
      <c r="Q105" s="72"/>
      <c r="R105" s="72"/>
    </row>
    <row r="106" customFormat="false" ht="25.5" hidden="false" customHeight="true" outlineLevel="1" collapsed="false">
      <c r="A106" s="75" t="n">
        <v>4</v>
      </c>
      <c r="B106" s="76" t="s">
        <v>97</v>
      </c>
      <c r="C106" s="76" t="s">
        <v>52</v>
      </c>
      <c r="D106" s="75" t="s">
        <v>124</v>
      </c>
      <c r="E106" s="76"/>
      <c r="F106" s="76" t="s">
        <v>398</v>
      </c>
      <c r="G106" s="77" t="s">
        <v>399</v>
      </c>
      <c r="H106" s="77" t="s">
        <v>400</v>
      </c>
      <c r="I106" s="76" t="s">
        <v>101</v>
      </c>
      <c r="J106" s="76" t="s">
        <v>148</v>
      </c>
      <c r="K106" s="78" t="n">
        <v>46402</v>
      </c>
      <c r="L106" s="78" t="n">
        <v>46446</v>
      </c>
      <c r="M106" s="76" t="s">
        <v>39</v>
      </c>
      <c r="N106" s="77" t="s">
        <v>401</v>
      </c>
      <c r="O106" s="72"/>
      <c r="P106" s="72"/>
      <c r="Q106" s="72"/>
      <c r="R106" s="72"/>
    </row>
    <row r="107" customFormat="false" ht="39" hidden="false" customHeight="true" outlineLevel="1" collapsed="false">
      <c r="A107" s="71" t="n">
        <v>3</v>
      </c>
      <c r="B107" s="72" t="s">
        <v>97</v>
      </c>
      <c r="C107" s="72" t="s">
        <v>52</v>
      </c>
      <c r="D107" s="71" t="s">
        <v>124</v>
      </c>
      <c r="E107" s="72"/>
      <c r="F107" s="72" t="s">
        <v>402</v>
      </c>
      <c r="G107" s="73" t="s">
        <v>403</v>
      </c>
      <c r="H107" s="73" t="s">
        <v>404</v>
      </c>
      <c r="I107" s="72" t="s">
        <v>101</v>
      </c>
      <c r="J107" s="72" t="s">
        <v>148</v>
      </c>
      <c r="K107" s="74" t="n">
        <v>46357</v>
      </c>
      <c r="L107" s="74" t="n">
        <v>46446</v>
      </c>
      <c r="M107" s="72" t="s">
        <v>39</v>
      </c>
      <c r="N107" s="73" t="s">
        <v>405</v>
      </c>
      <c r="O107" s="72"/>
      <c r="P107" s="72"/>
      <c r="Q107" s="72"/>
      <c r="R107" s="72"/>
    </row>
    <row r="108" customFormat="false" ht="25.5" hidden="false" customHeight="true" outlineLevel="1" collapsed="false">
      <c r="A108" s="71" t="n">
        <v>3</v>
      </c>
      <c r="B108" s="72" t="s">
        <v>97</v>
      </c>
      <c r="C108" s="72" t="s">
        <v>52</v>
      </c>
      <c r="D108" s="71" t="s">
        <v>124</v>
      </c>
      <c r="E108" s="72"/>
      <c r="F108" s="72" t="s">
        <v>406</v>
      </c>
      <c r="G108" s="73" t="s">
        <v>407</v>
      </c>
      <c r="H108" s="73" t="s">
        <v>408</v>
      </c>
      <c r="I108" s="72" t="s">
        <v>101</v>
      </c>
      <c r="J108" s="72" t="s">
        <v>148</v>
      </c>
      <c r="K108" s="74" t="n">
        <v>46402</v>
      </c>
      <c r="L108" s="74" t="n">
        <v>46477</v>
      </c>
      <c r="M108" s="72" t="s">
        <v>39</v>
      </c>
      <c r="N108" s="73" t="s">
        <v>409</v>
      </c>
      <c r="O108" s="72"/>
      <c r="P108" s="72"/>
      <c r="Q108" s="72"/>
      <c r="R108" s="72"/>
    </row>
    <row r="109" customFormat="false" ht="39" hidden="false" customHeight="true" outlineLevel="0" collapsed="false">
      <c r="A109" s="66" t="n">
        <v>2</v>
      </c>
      <c r="B109" s="67" t="s">
        <v>97</v>
      </c>
      <c r="C109" s="67" t="s">
        <v>52</v>
      </c>
      <c r="D109" s="66" t="s">
        <v>124</v>
      </c>
      <c r="E109" s="68"/>
      <c r="F109" s="68" t="s">
        <v>410</v>
      </c>
      <c r="G109" s="68" t="s">
        <v>411</v>
      </c>
      <c r="H109" s="79" t="s">
        <v>412</v>
      </c>
      <c r="I109" s="60" t="s">
        <v>101</v>
      </c>
      <c r="J109" s="69" t="s">
        <v>148</v>
      </c>
      <c r="K109" s="69" t="n">
        <v>46235</v>
      </c>
      <c r="L109" s="69" t="n">
        <v>46446</v>
      </c>
      <c r="M109" s="70" t="s">
        <v>41</v>
      </c>
      <c r="N109" s="80"/>
      <c r="O109" s="72"/>
      <c r="P109" s="72"/>
      <c r="Q109" s="72"/>
      <c r="R109" s="72"/>
    </row>
    <row r="110" customFormat="false" ht="25.5" hidden="false" customHeight="true" outlineLevel="1" collapsed="false">
      <c r="A110" s="71" t="n">
        <v>3</v>
      </c>
      <c r="B110" s="72" t="s">
        <v>97</v>
      </c>
      <c r="C110" s="72" t="s">
        <v>52</v>
      </c>
      <c r="D110" s="71" t="s">
        <v>124</v>
      </c>
      <c r="E110" s="72"/>
      <c r="F110" s="72" t="s">
        <v>413</v>
      </c>
      <c r="G110" s="73" t="s">
        <v>414</v>
      </c>
      <c r="H110" s="73" t="s">
        <v>415</v>
      </c>
      <c r="I110" s="72" t="s">
        <v>101</v>
      </c>
      <c r="J110" s="72" t="s">
        <v>148</v>
      </c>
      <c r="K110" s="74" t="n">
        <v>46235</v>
      </c>
      <c r="L110" s="74" t="n">
        <v>46265</v>
      </c>
      <c r="M110" s="72" t="s">
        <v>34</v>
      </c>
      <c r="N110" s="80"/>
      <c r="O110" s="72"/>
      <c r="P110" s="72"/>
      <c r="Q110" s="72"/>
      <c r="R110" s="72"/>
    </row>
    <row r="111" customFormat="false" ht="25.5" hidden="false" customHeight="true" outlineLevel="1" collapsed="false">
      <c r="A111" s="71" t="n">
        <v>3</v>
      </c>
      <c r="B111" s="72" t="s">
        <v>97</v>
      </c>
      <c r="C111" s="72" t="s">
        <v>52</v>
      </c>
      <c r="D111" s="71" t="s">
        <v>124</v>
      </c>
      <c r="E111" s="72"/>
      <c r="F111" s="72" t="s">
        <v>416</v>
      </c>
      <c r="G111" s="73" t="s">
        <v>417</v>
      </c>
      <c r="H111" s="73" t="s">
        <v>418</v>
      </c>
      <c r="I111" s="72" t="s">
        <v>101</v>
      </c>
      <c r="J111" s="72" t="s">
        <v>148</v>
      </c>
      <c r="K111" s="74" t="n">
        <v>46266</v>
      </c>
      <c r="L111" s="74" t="n">
        <v>46326</v>
      </c>
      <c r="M111" s="72" t="s">
        <v>39</v>
      </c>
      <c r="N111" s="80"/>
      <c r="O111" s="72"/>
      <c r="P111" s="72"/>
      <c r="Q111" s="72"/>
      <c r="R111" s="72"/>
    </row>
    <row r="112" customFormat="false" ht="51.75" hidden="false" customHeight="true" outlineLevel="1" collapsed="false">
      <c r="A112" s="71" t="n">
        <v>3</v>
      </c>
      <c r="B112" s="72" t="s">
        <v>97</v>
      </c>
      <c r="C112" s="72" t="s">
        <v>52</v>
      </c>
      <c r="D112" s="71" t="s">
        <v>124</v>
      </c>
      <c r="E112" s="72"/>
      <c r="F112" s="72" t="s">
        <v>419</v>
      </c>
      <c r="G112" s="73" t="s">
        <v>420</v>
      </c>
      <c r="H112" s="73" t="s">
        <v>421</v>
      </c>
      <c r="I112" s="72" t="s">
        <v>101</v>
      </c>
      <c r="J112" s="72" t="s">
        <v>148</v>
      </c>
      <c r="K112" s="74" t="n">
        <v>46266</v>
      </c>
      <c r="L112" s="74" t="n">
        <v>46326</v>
      </c>
      <c r="M112" s="72" t="s">
        <v>39</v>
      </c>
      <c r="N112" s="80"/>
      <c r="O112" s="72"/>
      <c r="P112" s="72"/>
      <c r="Q112" s="72"/>
      <c r="R112" s="72"/>
    </row>
    <row r="113" customFormat="false" ht="25.5" hidden="false" customHeight="true" outlineLevel="1" collapsed="false">
      <c r="A113" s="71" t="n">
        <v>3</v>
      </c>
      <c r="B113" s="72" t="s">
        <v>97</v>
      </c>
      <c r="C113" s="72" t="s">
        <v>52</v>
      </c>
      <c r="D113" s="71" t="s">
        <v>124</v>
      </c>
      <c r="E113" s="72"/>
      <c r="F113" s="72" t="s">
        <v>422</v>
      </c>
      <c r="G113" s="73" t="s">
        <v>423</v>
      </c>
      <c r="H113" s="73" t="s">
        <v>424</v>
      </c>
      <c r="I113" s="72" t="s">
        <v>101</v>
      </c>
      <c r="J113" s="72" t="s">
        <v>148</v>
      </c>
      <c r="K113" s="74" t="n">
        <v>46327</v>
      </c>
      <c r="L113" s="74" t="n">
        <v>46418</v>
      </c>
      <c r="M113" s="72" t="s">
        <v>39</v>
      </c>
      <c r="N113" s="80"/>
      <c r="O113" s="72"/>
      <c r="P113" s="72"/>
      <c r="Q113" s="72"/>
      <c r="R113" s="72"/>
    </row>
    <row r="114" customFormat="false" ht="25.5" hidden="false" customHeight="true" outlineLevel="1" collapsed="false">
      <c r="A114" s="71" t="n">
        <v>3</v>
      </c>
      <c r="B114" s="72" t="s">
        <v>97</v>
      </c>
      <c r="C114" s="72" t="s">
        <v>52</v>
      </c>
      <c r="D114" s="71" t="s">
        <v>124</v>
      </c>
      <c r="E114" s="72"/>
      <c r="F114" s="72" t="s">
        <v>425</v>
      </c>
      <c r="G114" s="73" t="s">
        <v>426</v>
      </c>
      <c r="H114" s="73" t="s">
        <v>427</v>
      </c>
      <c r="I114" s="72" t="s">
        <v>101</v>
      </c>
      <c r="J114" s="72" t="s">
        <v>148</v>
      </c>
      <c r="K114" s="74" t="n">
        <v>46327</v>
      </c>
      <c r="L114" s="74" t="n">
        <v>46446</v>
      </c>
      <c r="M114" s="72" t="s">
        <v>39</v>
      </c>
      <c r="N114" s="80"/>
      <c r="O114" s="72"/>
      <c r="P114" s="72"/>
      <c r="Q114" s="72"/>
      <c r="R114" s="72"/>
    </row>
    <row r="115" customFormat="false" ht="39" hidden="false" customHeight="true" outlineLevel="1" collapsed="false">
      <c r="A115" s="71" t="n">
        <v>3</v>
      </c>
      <c r="B115" s="72" t="s">
        <v>97</v>
      </c>
      <c r="C115" s="72" t="s">
        <v>52</v>
      </c>
      <c r="D115" s="71" t="s">
        <v>124</v>
      </c>
      <c r="E115" s="72"/>
      <c r="F115" s="72" t="s">
        <v>428</v>
      </c>
      <c r="G115" s="73" t="s">
        <v>429</v>
      </c>
      <c r="H115" s="73" t="s">
        <v>430</v>
      </c>
      <c r="I115" s="72" t="s">
        <v>101</v>
      </c>
      <c r="J115" s="72" t="s">
        <v>148</v>
      </c>
      <c r="K115" s="74" t="n">
        <v>46258</v>
      </c>
      <c r="L115" s="74" t="n">
        <v>46461</v>
      </c>
      <c r="M115" s="72" t="s">
        <v>39</v>
      </c>
      <c r="N115" s="80"/>
      <c r="O115" s="72"/>
      <c r="P115" s="72"/>
      <c r="Q115" s="72"/>
      <c r="R115" s="72"/>
    </row>
    <row r="116" customFormat="false" ht="39" hidden="false" customHeight="true" outlineLevel="0" collapsed="false">
      <c r="A116" s="66" t="n">
        <v>2</v>
      </c>
      <c r="B116" s="67" t="s">
        <v>97</v>
      </c>
      <c r="C116" s="67" t="s">
        <v>52</v>
      </c>
      <c r="D116" s="66" t="s">
        <v>124</v>
      </c>
      <c r="E116" s="68"/>
      <c r="F116" s="68" t="s">
        <v>431</v>
      </c>
      <c r="G116" s="79" t="s">
        <v>432</v>
      </c>
      <c r="H116" s="79" t="s">
        <v>433</v>
      </c>
      <c r="I116" s="66" t="s">
        <v>101</v>
      </c>
      <c r="J116" s="67" t="s">
        <v>148</v>
      </c>
      <c r="K116" s="69" t="n">
        <v>46266</v>
      </c>
      <c r="L116" s="69" t="n">
        <v>46492</v>
      </c>
      <c r="M116" s="70" t="s">
        <v>39</v>
      </c>
      <c r="N116" s="68"/>
      <c r="O116" s="79"/>
      <c r="P116" s="69"/>
      <c r="Q116" s="72"/>
      <c r="R116" s="72"/>
    </row>
    <row r="117" customFormat="false" ht="25.5" hidden="false" customHeight="true" outlineLevel="1" collapsed="false">
      <c r="A117" s="71" t="n">
        <v>3</v>
      </c>
      <c r="B117" s="72" t="s">
        <v>97</v>
      </c>
      <c r="C117" s="72" t="s">
        <v>52</v>
      </c>
      <c r="D117" s="71" t="s">
        <v>124</v>
      </c>
      <c r="E117" s="72"/>
      <c r="F117" s="72" t="s">
        <v>434</v>
      </c>
      <c r="G117" s="73" t="s">
        <v>435</v>
      </c>
      <c r="H117" s="73" t="s">
        <v>436</v>
      </c>
      <c r="I117" s="72" t="s">
        <v>101</v>
      </c>
      <c r="J117" s="72" t="s">
        <v>148</v>
      </c>
      <c r="K117" s="74" t="n">
        <v>46266</v>
      </c>
      <c r="L117" s="74" t="n">
        <v>46356</v>
      </c>
      <c r="M117" s="72" t="s">
        <v>39</v>
      </c>
      <c r="N117" s="73" t="s">
        <v>437</v>
      </c>
      <c r="O117" s="72"/>
      <c r="P117" s="72"/>
      <c r="Q117" s="72"/>
      <c r="R117" s="72"/>
    </row>
    <row r="118" customFormat="false" ht="25.5" hidden="false" customHeight="true" outlineLevel="1" collapsed="false">
      <c r="A118" s="71" t="n">
        <v>3</v>
      </c>
      <c r="B118" s="72" t="s">
        <v>97</v>
      </c>
      <c r="C118" s="72" t="s">
        <v>52</v>
      </c>
      <c r="D118" s="71" t="s">
        <v>124</v>
      </c>
      <c r="E118" s="72"/>
      <c r="F118" s="72" t="s">
        <v>438</v>
      </c>
      <c r="G118" s="73" t="s">
        <v>439</v>
      </c>
      <c r="H118" s="73" t="s">
        <v>440</v>
      </c>
      <c r="I118" s="72" t="s">
        <v>101</v>
      </c>
      <c r="J118" s="72" t="s">
        <v>148</v>
      </c>
      <c r="K118" s="74" t="n">
        <v>46266</v>
      </c>
      <c r="L118" s="74" t="n">
        <v>46446</v>
      </c>
      <c r="M118" s="72" t="s">
        <v>39</v>
      </c>
      <c r="N118" s="73" t="s">
        <v>441</v>
      </c>
      <c r="O118" s="72"/>
      <c r="P118" s="72"/>
      <c r="Q118" s="72"/>
      <c r="R118" s="72"/>
    </row>
    <row r="119" customFormat="false" ht="39" hidden="false" customHeight="true" outlineLevel="1" collapsed="false">
      <c r="A119" s="71" t="n">
        <v>3</v>
      </c>
      <c r="B119" s="72" t="s">
        <v>97</v>
      </c>
      <c r="C119" s="72" t="s">
        <v>52</v>
      </c>
      <c r="D119" s="71" t="s">
        <v>124</v>
      </c>
      <c r="E119" s="72"/>
      <c r="F119" s="72" t="s">
        <v>442</v>
      </c>
      <c r="G119" s="73" t="s">
        <v>443</v>
      </c>
      <c r="H119" s="73" t="s">
        <v>444</v>
      </c>
      <c r="I119" s="72" t="s">
        <v>101</v>
      </c>
      <c r="J119" s="72" t="s">
        <v>148</v>
      </c>
      <c r="K119" s="74" t="n">
        <v>46296</v>
      </c>
      <c r="L119" s="74" t="n">
        <v>46371</v>
      </c>
      <c r="M119" s="72" t="s">
        <v>39</v>
      </c>
      <c r="N119" s="73" t="s">
        <v>445</v>
      </c>
      <c r="O119" s="72"/>
      <c r="P119" s="72"/>
      <c r="Q119" s="72"/>
      <c r="R119" s="72"/>
    </row>
    <row r="120" customFormat="false" ht="25.5" hidden="false" customHeight="true" outlineLevel="1" collapsed="false">
      <c r="A120" s="71" t="n">
        <v>3</v>
      </c>
      <c r="B120" s="72" t="s">
        <v>97</v>
      </c>
      <c r="C120" s="72" t="s">
        <v>52</v>
      </c>
      <c r="D120" s="71" t="s">
        <v>124</v>
      </c>
      <c r="E120" s="72"/>
      <c r="F120" s="72" t="s">
        <v>446</v>
      </c>
      <c r="G120" s="73" t="s">
        <v>447</v>
      </c>
      <c r="H120" s="73" t="s">
        <v>448</v>
      </c>
      <c r="I120" s="72" t="s">
        <v>101</v>
      </c>
      <c r="J120" s="72" t="s">
        <v>148</v>
      </c>
      <c r="K120" s="74" t="n">
        <v>46327</v>
      </c>
      <c r="L120" s="74" t="n">
        <v>46418</v>
      </c>
      <c r="M120" s="72" t="s">
        <v>39</v>
      </c>
      <c r="N120" s="73" t="s">
        <v>449</v>
      </c>
      <c r="O120" s="72"/>
      <c r="P120" s="72"/>
      <c r="Q120" s="72"/>
      <c r="R120" s="72"/>
    </row>
    <row r="121" customFormat="false" ht="25.5" hidden="false" customHeight="true" outlineLevel="1" collapsed="false">
      <c r="A121" s="71" t="n">
        <v>3</v>
      </c>
      <c r="B121" s="72" t="s">
        <v>97</v>
      </c>
      <c r="C121" s="72" t="s">
        <v>52</v>
      </c>
      <c r="D121" s="71" t="s">
        <v>124</v>
      </c>
      <c r="E121" s="72"/>
      <c r="F121" s="72" t="s">
        <v>450</v>
      </c>
      <c r="G121" s="73" t="s">
        <v>451</v>
      </c>
      <c r="H121" s="73" t="s">
        <v>452</v>
      </c>
      <c r="I121" s="72" t="s">
        <v>101</v>
      </c>
      <c r="J121" s="72" t="s">
        <v>148</v>
      </c>
      <c r="K121" s="74" t="n">
        <v>46327</v>
      </c>
      <c r="L121" s="74" t="n">
        <v>46461</v>
      </c>
      <c r="M121" s="72" t="s">
        <v>39</v>
      </c>
      <c r="N121" s="73" t="s">
        <v>453</v>
      </c>
      <c r="O121" s="72"/>
      <c r="P121" s="72"/>
      <c r="Q121" s="72"/>
      <c r="R121" s="72"/>
    </row>
    <row r="122" customFormat="false" ht="25.5" hidden="false" customHeight="true" outlineLevel="1" collapsed="false">
      <c r="A122" s="71" t="n">
        <v>3</v>
      </c>
      <c r="B122" s="72" t="s">
        <v>97</v>
      </c>
      <c r="C122" s="72" t="s">
        <v>52</v>
      </c>
      <c r="D122" s="71" t="s">
        <v>124</v>
      </c>
      <c r="E122" s="72"/>
      <c r="F122" s="72" t="s">
        <v>454</v>
      </c>
      <c r="G122" s="73" t="s">
        <v>455</v>
      </c>
      <c r="H122" s="73" t="s">
        <v>456</v>
      </c>
      <c r="I122" s="72" t="s">
        <v>101</v>
      </c>
      <c r="J122" s="72" t="s">
        <v>148</v>
      </c>
      <c r="K122" s="74" t="n">
        <v>46478</v>
      </c>
      <c r="L122" s="74" t="n">
        <v>46492</v>
      </c>
      <c r="M122" s="72" t="s">
        <v>39</v>
      </c>
      <c r="N122" s="73" t="s">
        <v>457</v>
      </c>
      <c r="O122" s="72"/>
      <c r="P122" s="72"/>
      <c r="Q122" s="72"/>
      <c r="R122" s="72"/>
    </row>
    <row r="123" customFormat="false" ht="39" hidden="false" customHeight="true" outlineLevel="0" collapsed="false">
      <c r="A123" s="66" t="n">
        <v>2</v>
      </c>
      <c r="B123" s="67" t="s">
        <v>97</v>
      </c>
      <c r="C123" s="67" t="s">
        <v>52</v>
      </c>
      <c r="D123" s="66" t="s">
        <v>124</v>
      </c>
      <c r="E123" s="68"/>
      <c r="F123" s="79" t="s">
        <v>458</v>
      </c>
      <c r="G123" s="79" t="s">
        <v>459</v>
      </c>
      <c r="H123" s="68" t="s">
        <v>460</v>
      </c>
      <c r="I123" s="66" t="s">
        <v>101</v>
      </c>
      <c r="J123" s="67" t="s">
        <v>148</v>
      </c>
      <c r="K123" s="69" t="n">
        <v>46217</v>
      </c>
      <c r="L123" s="69" t="n">
        <v>46492</v>
      </c>
      <c r="M123" s="70" t="s">
        <v>39</v>
      </c>
      <c r="N123" s="79"/>
      <c r="O123" s="79"/>
      <c r="P123" s="67"/>
      <c r="Q123" s="72"/>
      <c r="R123" s="72"/>
    </row>
    <row r="124" customFormat="false" ht="39" hidden="false" customHeight="true" outlineLevel="1" collapsed="false">
      <c r="A124" s="71" t="n">
        <v>3</v>
      </c>
      <c r="B124" s="72" t="s">
        <v>97</v>
      </c>
      <c r="C124" s="72" t="s">
        <v>52</v>
      </c>
      <c r="D124" s="71" t="s">
        <v>124</v>
      </c>
      <c r="E124" s="72"/>
      <c r="F124" s="72" t="s">
        <v>461</v>
      </c>
      <c r="G124" s="73" t="s">
        <v>462</v>
      </c>
      <c r="H124" s="73" t="s">
        <v>463</v>
      </c>
      <c r="I124" s="72" t="s">
        <v>101</v>
      </c>
      <c r="J124" s="72" t="s">
        <v>148</v>
      </c>
      <c r="K124" s="74" t="n">
        <v>46235</v>
      </c>
      <c r="L124" s="74" t="n">
        <v>46295</v>
      </c>
      <c r="M124" s="72" t="s">
        <v>34</v>
      </c>
      <c r="N124" s="73" t="s">
        <v>464</v>
      </c>
      <c r="O124" s="72"/>
      <c r="P124" s="72"/>
      <c r="Q124" s="72"/>
      <c r="R124" s="72"/>
    </row>
    <row r="125" customFormat="false" ht="64.5" hidden="false" customHeight="true" outlineLevel="1" collapsed="false">
      <c r="A125" s="71" t="n">
        <v>3</v>
      </c>
      <c r="B125" s="72" t="s">
        <v>97</v>
      </c>
      <c r="C125" s="72" t="s">
        <v>52</v>
      </c>
      <c r="D125" s="71" t="s">
        <v>124</v>
      </c>
      <c r="E125" s="72"/>
      <c r="F125" s="72" t="s">
        <v>465</v>
      </c>
      <c r="G125" s="73" t="s">
        <v>466</v>
      </c>
      <c r="H125" s="73" t="s">
        <v>467</v>
      </c>
      <c r="I125" s="72" t="s">
        <v>101</v>
      </c>
      <c r="J125" s="72" t="s">
        <v>148</v>
      </c>
      <c r="K125" s="74" t="n">
        <v>46217</v>
      </c>
      <c r="L125" s="74" t="n">
        <v>46295</v>
      </c>
      <c r="M125" s="72" t="s">
        <v>34</v>
      </c>
      <c r="N125" s="73" t="s">
        <v>468</v>
      </c>
      <c r="O125" s="72"/>
      <c r="P125" s="72"/>
      <c r="Q125" s="72"/>
      <c r="R125" s="72"/>
    </row>
    <row r="126" customFormat="false" ht="39" hidden="false" customHeight="true" outlineLevel="1" collapsed="false">
      <c r="A126" s="71" t="n">
        <v>3</v>
      </c>
      <c r="B126" s="72" t="s">
        <v>97</v>
      </c>
      <c r="C126" s="72" t="s">
        <v>52</v>
      </c>
      <c r="D126" s="71" t="s">
        <v>124</v>
      </c>
      <c r="E126" s="72"/>
      <c r="F126" s="72" t="s">
        <v>469</v>
      </c>
      <c r="G126" s="73" t="s">
        <v>470</v>
      </c>
      <c r="H126" s="73" t="s">
        <v>471</v>
      </c>
      <c r="I126" s="72" t="s">
        <v>101</v>
      </c>
      <c r="J126" s="72" t="s">
        <v>148</v>
      </c>
      <c r="K126" s="74" t="n">
        <v>46327</v>
      </c>
      <c r="L126" s="74" t="n">
        <v>46446</v>
      </c>
      <c r="M126" s="72" t="s">
        <v>39</v>
      </c>
      <c r="N126" s="73" t="s">
        <v>472</v>
      </c>
      <c r="O126" s="72"/>
      <c r="P126" s="72"/>
      <c r="Q126" s="72"/>
      <c r="R126" s="72"/>
    </row>
    <row r="127" customFormat="false" ht="25.5" hidden="false" customHeight="true" outlineLevel="1" collapsed="false">
      <c r="A127" s="75" t="n">
        <v>4</v>
      </c>
      <c r="B127" s="76" t="s">
        <v>97</v>
      </c>
      <c r="C127" s="76" t="s">
        <v>52</v>
      </c>
      <c r="D127" s="75" t="s">
        <v>124</v>
      </c>
      <c r="E127" s="76"/>
      <c r="F127" s="76" t="s">
        <v>473</v>
      </c>
      <c r="G127" s="77" t="s">
        <v>474</v>
      </c>
      <c r="H127" s="77" t="s">
        <v>475</v>
      </c>
      <c r="I127" s="76" t="s">
        <v>101</v>
      </c>
      <c r="J127" s="76" t="s">
        <v>148</v>
      </c>
      <c r="K127" s="78" t="n">
        <v>46327</v>
      </c>
      <c r="L127" s="78" t="n">
        <v>46371</v>
      </c>
      <c r="M127" s="76" t="s">
        <v>39</v>
      </c>
      <c r="N127" s="77" t="s">
        <v>476</v>
      </c>
      <c r="O127" s="72"/>
      <c r="P127" s="72"/>
      <c r="Q127" s="72"/>
      <c r="R127" s="72"/>
    </row>
    <row r="128" customFormat="false" ht="39" hidden="false" customHeight="true" outlineLevel="1" collapsed="false">
      <c r="A128" s="75" t="n">
        <v>4</v>
      </c>
      <c r="B128" s="76" t="s">
        <v>97</v>
      </c>
      <c r="C128" s="76" t="s">
        <v>52</v>
      </c>
      <c r="D128" s="75" t="s">
        <v>124</v>
      </c>
      <c r="E128" s="76"/>
      <c r="F128" s="76" t="s">
        <v>477</v>
      </c>
      <c r="G128" s="77" t="s">
        <v>478</v>
      </c>
      <c r="H128" s="77" t="s">
        <v>479</v>
      </c>
      <c r="I128" s="76" t="s">
        <v>101</v>
      </c>
      <c r="J128" s="76" t="s">
        <v>148</v>
      </c>
      <c r="K128" s="78" t="n">
        <v>46357</v>
      </c>
      <c r="L128" s="78" t="n">
        <v>46418</v>
      </c>
      <c r="M128" s="76" t="s">
        <v>39</v>
      </c>
      <c r="N128" s="77" t="s">
        <v>480</v>
      </c>
      <c r="O128" s="72"/>
      <c r="P128" s="72"/>
      <c r="Q128" s="72"/>
      <c r="R128" s="72"/>
    </row>
    <row r="129" customFormat="false" ht="25.5" hidden="false" customHeight="true" outlineLevel="1" collapsed="false">
      <c r="A129" s="75" t="n">
        <v>4</v>
      </c>
      <c r="B129" s="76" t="s">
        <v>97</v>
      </c>
      <c r="C129" s="76" t="s">
        <v>52</v>
      </c>
      <c r="D129" s="75" t="s">
        <v>124</v>
      </c>
      <c r="E129" s="76"/>
      <c r="F129" s="76" t="s">
        <v>481</v>
      </c>
      <c r="G129" s="77" t="s">
        <v>482</v>
      </c>
      <c r="H129" s="77" t="s">
        <v>483</v>
      </c>
      <c r="I129" s="76" t="s">
        <v>101</v>
      </c>
      <c r="J129" s="76" t="s">
        <v>148</v>
      </c>
      <c r="K129" s="78" t="n">
        <v>46388</v>
      </c>
      <c r="L129" s="78" t="n">
        <v>46446</v>
      </c>
      <c r="M129" s="76" t="s">
        <v>39</v>
      </c>
      <c r="N129" s="77" t="s">
        <v>484</v>
      </c>
      <c r="O129" s="72"/>
      <c r="P129" s="72"/>
      <c r="Q129" s="72"/>
      <c r="R129" s="72"/>
    </row>
    <row r="130" customFormat="false" ht="25.5" hidden="false" customHeight="true" outlineLevel="1" collapsed="false">
      <c r="A130" s="71" t="n">
        <v>3</v>
      </c>
      <c r="B130" s="72" t="s">
        <v>97</v>
      </c>
      <c r="C130" s="72" t="s">
        <v>52</v>
      </c>
      <c r="D130" s="71" t="s">
        <v>124</v>
      </c>
      <c r="E130" s="72"/>
      <c r="F130" s="72" t="s">
        <v>485</v>
      </c>
      <c r="G130" s="73" t="s">
        <v>486</v>
      </c>
      <c r="H130" s="73" t="s">
        <v>487</v>
      </c>
      <c r="I130" s="72" t="s">
        <v>101</v>
      </c>
      <c r="J130" s="72" t="s">
        <v>148</v>
      </c>
      <c r="K130" s="74" t="n">
        <v>46392</v>
      </c>
      <c r="L130" s="74" t="n">
        <v>46446</v>
      </c>
      <c r="M130" s="72" t="s">
        <v>39</v>
      </c>
      <c r="N130" s="73" t="s">
        <v>488</v>
      </c>
      <c r="O130" s="72"/>
      <c r="P130" s="72"/>
      <c r="Q130" s="72"/>
      <c r="R130" s="72"/>
    </row>
    <row r="131" customFormat="false" ht="25.5" hidden="false" customHeight="true" outlineLevel="1" collapsed="false">
      <c r="A131" s="75" t="n">
        <v>4</v>
      </c>
      <c r="B131" s="76" t="s">
        <v>97</v>
      </c>
      <c r="C131" s="76" t="s">
        <v>52</v>
      </c>
      <c r="D131" s="75" t="s">
        <v>124</v>
      </c>
      <c r="E131" s="76"/>
      <c r="F131" s="76" t="s">
        <v>489</v>
      </c>
      <c r="G131" s="77" t="s">
        <v>490</v>
      </c>
      <c r="H131" s="77" t="s">
        <v>491</v>
      </c>
      <c r="I131" s="76" t="s">
        <v>101</v>
      </c>
      <c r="J131" s="76" t="s">
        <v>148</v>
      </c>
      <c r="K131" s="78" t="n">
        <v>46392</v>
      </c>
      <c r="L131" s="78" t="n">
        <v>46407</v>
      </c>
      <c r="M131" s="76" t="s">
        <v>39</v>
      </c>
      <c r="N131" s="77"/>
      <c r="O131" s="72"/>
      <c r="P131" s="72"/>
      <c r="Q131" s="72"/>
      <c r="R131" s="72"/>
    </row>
    <row r="132" customFormat="false" ht="15.75" hidden="false" customHeight="false" outlineLevel="1" collapsed="false">
      <c r="A132" s="75" t="n">
        <v>4</v>
      </c>
      <c r="B132" s="76" t="s">
        <v>97</v>
      </c>
      <c r="C132" s="76" t="s">
        <v>52</v>
      </c>
      <c r="D132" s="75" t="s">
        <v>124</v>
      </c>
      <c r="E132" s="76"/>
      <c r="F132" s="76" t="s">
        <v>492</v>
      </c>
      <c r="G132" s="77" t="s">
        <v>493</v>
      </c>
      <c r="H132" s="77" t="s">
        <v>494</v>
      </c>
      <c r="I132" s="76" t="s">
        <v>101</v>
      </c>
      <c r="J132" s="76" t="s">
        <v>148</v>
      </c>
      <c r="K132" s="78" t="n">
        <v>46402</v>
      </c>
      <c r="L132" s="78" t="n">
        <v>46428</v>
      </c>
      <c r="M132" s="76" t="s">
        <v>39</v>
      </c>
      <c r="N132" s="77"/>
      <c r="O132" s="72"/>
      <c r="P132" s="72"/>
      <c r="Q132" s="72"/>
      <c r="R132" s="72"/>
    </row>
    <row r="133" customFormat="false" ht="25.5" hidden="false" customHeight="true" outlineLevel="1" collapsed="false">
      <c r="A133" s="75" t="n">
        <v>4</v>
      </c>
      <c r="B133" s="76" t="s">
        <v>97</v>
      </c>
      <c r="C133" s="76" t="s">
        <v>52</v>
      </c>
      <c r="D133" s="75" t="s">
        <v>124</v>
      </c>
      <c r="E133" s="76"/>
      <c r="F133" s="76" t="s">
        <v>495</v>
      </c>
      <c r="G133" s="77" t="s">
        <v>496</v>
      </c>
      <c r="H133" s="77" t="s">
        <v>497</v>
      </c>
      <c r="I133" s="76" t="s">
        <v>101</v>
      </c>
      <c r="J133" s="76" t="s">
        <v>148</v>
      </c>
      <c r="K133" s="78" t="n">
        <v>46433</v>
      </c>
      <c r="L133" s="78" t="n">
        <v>46443</v>
      </c>
      <c r="M133" s="76" t="s">
        <v>39</v>
      </c>
      <c r="N133" s="77"/>
      <c r="O133" s="72"/>
      <c r="P133" s="72"/>
      <c r="Q133" s="72"/>
      <c r="R133" s="72"/>
    </row>
    <row r="134" customFormat="false" ht="25.5" hidden="false" customHeight="true" outlineLevel="1" collapsed="false">
      <c r="A134" s="75" t="n">
        <v>4</v>
      </c>
      <c r="B134" s="76" t="s">
        <v>97</v>
      </c>
      <c r="C134" s="76" t="s">
        <v>52</v>
      </c>
      <c r="D134" s="75" t="s">
        <v>124</v>
      </c>
      <c r="E134" s="76"/>
      <c r="F134" s="76" t="s">
        <v>498</v>
      </c>
      <c r="G134" s="77" t="s">
        <v>499</v>
      </c>
      <c r="H134" s="77" t="s">
        <v>500</v>
      </c>
      <c r="I134" s="76" t="s">
        <v>101</v>
      </c>
      <c r="J134" s="76" t="s">
        <v>148</v>
      </c>
      <c r="K134" s="78" t="n">
        <v>46438</v>
      </c>
      <c r="L134" s="78" t="n">
        <v>46446</v>
      </c>
      <c r="M134" s="76" t="s">
        <v>39</v>
      </c>
      <c r="N134" s="77" t="s">
        <v>501</v>
      </c>
      <c r="O134" s="72"/>
      <c r="P134" s="72"/>
      <c r="Q134" s="72"/>
      <c r="R134" s="72"/>
    </row>
    <row r="135" customFormat="false" ht="25.5" hidden="false" customHeight="true" outlineLevel="1" collapsed="false">
      <c r="A135" s="71" t="n">
        <v>3</v>
      </c>
      <c r="B135" s="72" t="s">
        <v>97</v>
      </c>
      <c r="C135" s="72" t="s">
        <v>52</v>
      </c>
      <c r="D135" s="71" t="s">
        <v>124</v>
      </c>
      <c r="E135" s="72"/>
      <c r="F135" s="72" t="s">
        <v>502</v>
      </c>
      <c r="G135" s="73" t="s">
        <v>503</v>
      </c>
      <c r="H135" s="73" t="s">
        <v>504</v>
      </c>
      <c r="I135" s="72" t="s">
        <v>101</v>
      </c>
      <c r="J135" s="72" t="s">
        <v>148</v>
      </c>
      <c r="K135" s="74" t="n">
        <v>46447</v>
      </c>
      <c r="L135" s="74" t="n">
        <v>46492</v>
      </c>
      <c r="M135" s="72" t="s">
        <v>39</v>
      </c>
      <c r="N135" s="73" t="s">
        <v>505</v>
      </c>
      <c r="O135" s="72"/>
      <c r="P135" s="72"/>
      <c r="Q135" s="72"/>
      <c r="R135" s="72"/>
    </row>
    <row r="136" customFormat="false" ht="39" hidden="false" customHeight="true" outlineLevel="1" collapsed="false">
      <c r="A136" s="71" t="n">
        <v>3</v>
      </c>
      <c r="B136" s="72" t="s">
        <v>97</v>
      </c>
      <c r="C136" s="72" t="s">
        <v>52</v>
      </c>
      <c r="D136" s="71" t="s">
        <v>124</v>
      </c>
      <c r="E136" s="72"/>
      <c r="F136" s="72" t="s">
        <v>506</v>
      </c>
      <c r="G136" s="73" t="s">
        <v>507</v>
      </c>
      <c r="H136" s="73" t="s">
        <v>508</v>
      </c>
      <c r="I136" s="72" t="s">
        <v>101</v>
      </c>
      <c r="J136" s="72" t="s">
        <v>148</v>
      </c>
      <c r="K136" s="74" t="n">
        <v>46447</v>
      </c>
      <c r="L136" s="74" t="n">
        <v>46492</v>
      </c>
      <c r="M136" s="72" t="s">
        <v>39</v>
      </c>
      <c r="N136" s="73" t="s">
        <v>509</v>
      </c>
      <c r="O136" s="72"/>
      <c r="P136" s="72"/>
      <c r="Q136" s="72"/>
      <c r="R136" s="72"/>
    </row>
    <row r="137" customFormat="false" ht="25.5" hidden="false" customHeight="true" outlineLevel="1" collapsed="false">
      <c r="A137" s="71" t="n">
        <v>3</v>
      </c>
      <c r="B137" s="72" t="s">
        <v>97</v>
      </c>
      <c r="C137" s="72" t="s">
        <v>52</v>
      </c>
      <c r="D137" s="71" t="s">
        <v>124</v>
      </c>
      <c r="E137" s="72"/>
      <c r="F137" s="72" t="s">
        <v>510</v>
      </c>
      <c r="G137" s="73" t="s">
        <v>511</v>
      </c>
      <c r="H137" s="73" t="s">
        <v>512</v>
      </c>
      <c r="I137" s="72" t="s">
        <v>101</v>
      </c>
      <c r="J137" s="72" t="s">
        <v>148</v>
      </c>
      <c r="K137" s="74" t="n">
        <v>46419</v>
      </c>
      <c r="L137" s="74" t="n">
        <v>46477</v>
      </c>
      <c r="M137" s="72" t="s">
        <v>39</v>
      </c>
      <c r="N137" s="73" t="s">
        <v>513</v>
      </c>
      <c r="O137" s="72"/>
      <c r="P137" s="72"/>
      <c r="Q137" s="72"/>
      <c r="R137" s="72"/>
    </row>
    <row r="138" customFormat="false" ht="39" hidden="false" customHeight="true" outlineLevel="0" collapsed="false">
      <c r="A138" s="66" t="n">
        <v>2</v>
      </c>
      <c r="B138" s="67" t="s">
        <v>97</v>
      </c>
      <c r="C138" s="67" t="s">
        <v>52</v>
      </c>
      <c r="D138" s="66" t="s">
        <v>124</v>
      </c>
      <c r="E138" s="79"/>
      <c r="F138" s="79" t="s">
        <v>514</v>
      </c>
      <c r="G138" s="68" t="s">
        <v>515</v>
      </c>
      <c r="H138" s="68" t="s">
        <v>516</v>
      </c>
      <c r="I138" s="66" t="s">
        <v>101</v>
      </c>
      <c r="J138" s="67" t="s">
        <v>148</v>
      </c>
      <c r="K138" s="69" t="n">
        <v>46327</v>
      </c>
      <c r="L138" s="69" t="n">
        <v>46508</v>
      </c>
      <c r="M138" s="70" t="s">
        <v>39</v>
      </c>
      <c r="N138" s="79"/>
      <c r="O138" s="68"/>
      <c r="P138" s="67"/>
      <c r="Q138" s="72"/>
      <c r="R138" s="72"/>
    </row>
    <row r="139" s="83" customFormat="true" ht="51.75" hidden="false" customHeight="true" outlineLevel="1" collapsed="false">
      <c r="A139" s="81" t="n">
        <v>3</v>
      </c>
      <c r="B139" s="73" t="s">
        <v>97</v>
      </c>
      <c r="C139" s="73" t="s">
        <v>52</v>
      </c>
      <c r="D139" s="81" t="s">
        <v>124</v>
      </c>
      <c r="E139" s="72"/>
      <c r="F139" s="73" t="s">
        <v>517</v>
      </c>
      <c r="G139" s="73" t="s">
        <v>518</v>
      </c>
      <c r="H139" s="73" t="s">
        <v>519</v>
      </c>
      <c r="I139" s="72" t="s">
        <v>101</v>
      </c>
      <c r="J139" s="73" t="s">
        <v>148</v>
      </c>
      <c r="K139" s="82" t="n">
        <v>46327</v>
      </c>
      <c r="L139" s="82" t="n">
        <v>46387</v>
      </c>
      <c r="M139" s="73" t="s">
        <v>39</v>
      </c>
      <c r="N139" s="73" t="s">
        <v>520</v>
      </c>
      <c r="O139" s="73"/>
      <c r="P139" s="73"/>
      <c r="Q139" s="73"/>
      <c r="R139" s="73"/>
    </row>
    <row r="140" s="83" customFormat="true" ht="39" hidden="false" customHeight="true" outlineLevel="1" collapsed="false">
      <c r="A140" s="81" t="n">
        <v>3</v>
      </c>
      <c r="B140" s="73" t="s">
        <v>97</v>
      </c>
      <c r="C140" s="73" t="s">
        <v>52</v>
      </c>
      <c r="D140" s="81" t="s">
        <v>124</v>
      </c>
      <c r="E140" s="72"/>
      <c r="F140" s="73" t="s">
        <v>521</v>
      </c>
      <c r="G140" s="73" t="s">
        <v>522</v>
      </c>
      <c r="H140" s="73" t="s">
        <v>523</v>
      </c>
      <c r="I140" s="72" t="s">
        <v>101</v>
      </c>
      <c r="J140" s="73" t="s">
        <v>148</v>
      </c>
      <c r="K140" s="82" t="n">
        <v>46391</v>
      </c>
      <c r="L140" s="82" t="n">
        <v>46492</v>
      </c>
      <c r="M140" s="73" t="s">
        <v>39</v>
      </c>
      <c r="N140" s="73" t="s">
        <v>524</v>
      </c>
      <c r="O140" s="73"/>
      <c r="P140" s="73"/>
      <c r="Q140" s="73"/>
      <c r="R140" s="73"/>
    </row>
    <row r="141" s="83" customFormat="true" ht="25.5" hidden="false" customHeight="true" outlineLevel="1" collapsed="false">
      <c r="A141" s="81" t="n">
        <v>3</v>
      </c>
      <c r="B141" s="73" t="s">
        <v>97</v>
      </c>
      <c r="C141" s="73" t="s">
        <v>52</v>
      </c>
      <c r="D141" s="81" t="s">
        <v>124</v>
      </c>
      <c r="E141" s="72"/>
      <c r="F141" s="73" t="s">
        <v>525</v>
      </c>
      <c r="G141" s="73" t="s">
        <v>526</v>
      </c>
      <c r="H141" s="73" t="s">
        <v>527</v>
      </c>
      <c r="I141" s="72" t="s">
        <v>101</v>
      </c>
      <c r="J141" s="73" t="s">
        <v>148</v>
      </c>
      <c r="K141" s="82" t="n">
        <v>46419</v>
      </c>
      <c r="L141" s="82" t="n">
        <v>46477</v>
      </c>
      <c r="M141" s="73" t="s">
        <v>39</v>
      </c>
      <c r="N141" s="73" t="s">
        <v>528</v>
      </c>
      <c r="O141" s="73"/>
      <c r="P141" s="73"/>
      <c r="Q141" s="73"/>
      <c r="R141" s="73"/>
    </row>
    <row r="142" s="83" customFormat="true" ht="39" hidden="false" customHeight="true" outlineLevel="1" collapsed="false">
      <c r="A142" s="81" t="n">
        <v>3</v>
      </c>
      <c r="B142" s="73" t="s">
        <v>97</v>
      </c>
      <c r="C142" s="73" t="s">
        <v>52</v>
      </c>
      <c r="D142" s="81" t="s">
        <v>124</v>
      </c>
      <c r="E142" s="72"/>
      <c r="F142" s="73" t="s">
        <v>529</v>
      </c>
      <c r="G142" s="73" t="s">
        <v>530</v>
      </c>
      <c r="H142" s="73" t="s">
        <v>531</v>
      </c>
      <c r="I142" s="72" t="s">
        <v>101</v>
      </c>
      <c r="J142" s="73" t="s">
        <v>148</v>
      </c>
      <c r="K142" s="82" t="n">
        <v>46461</v>
      </c>
      <c r="L142" s="82" t="n">
        <v>46492</v>
      </c>
      <c r="M142" s="73" t="s">
        <v>39</v>
      </c>
      <c r="N142" s="73" t="s">
        <v>532</v>
      </c>
      <c r="O142" s="73"/>
      <c r="P142" s="73"/>
      <c r="Q142" s="73"/>
      <c r="R142" s="73"/>
    </row>
    <row r="143" s="83" customFormat="true" ht="39" hidden="false" customHeight="true" outlineLevel="1" collapsed="false">
      <c r="A143" s="81" t="n">
        <v>3</v>
      </c>
      <c r="B143" s="73" t="s">
        <v>97</v>
      </c>
      <c r="C143" s="73" t="s">
        <v>52</v>
      </c>
      <c r="D143" s="81" t="s">
        <v>124</v>
      </c>
      <c r="E143" s="72"/>
      <c r="F143" s="73" t="s">
        <v>533</v>
      </c>
      <c r="G143" s="73" t="s">
        <v>534</v>
      </c>
      <c r="H143" s="73" t="s">
        <v>535</v>
      </c>
      <c r="I143" s="72" t="s">
        <v>101</v>
      </c>
      <c r="J143" s="73" t="s">
        <v>148</v>
      </c>
      <c r="K143" s="82" t="n">
        <v>46461</v>
      </c>
      <c r="L143" s="82" t="n">
        <v>46507</v>
      </c>
      <c r="M143" s="73" t="s">
        <v>39</v>
      </c>
      <c r="N143" s="73" t="s">
        <v>536</v>
      </c>
      <c r="O143" s="73"/>
      <c r="P143" s="73"/>
      <c r="Q143" s="73"/>
      <c r="R143" s="73"/>
    </row>
    <row r="144" s="83" customFormat="true" ht="51.75" hidden="false" customHeight="true" outlineLevel="1" collapsed="false">
      <c r="A144" s="81" t="n">
        <v>3</v>
      </c>
      <c r="B144" s="73" t="s">
        <v>97</v>
      </c>
      <c r="C144" s="73" t="s">
        <v>52</v>
      </c>
      <c r="D144" s="81" t="s">
        <v>124</v>
      </c>
      <c r="E144" s="72"/>
      <c r="F144" s="73" t="s">
        <v>537</v>
      </c>
      <c r="G144" s="73" t="s">
        <v>538</v>
      </c>
      <c r="H144" s="73" t="s">
        <v>539</v>
      </c>
      <c r="I144" s="72" t="s">
        <v>101</v>
      </c>
      <c r="J144" s="73" t="s">
        <v>148</v>
      </c>
      <c r="K144" s="82" t="n">
        <v>46492</v>
      </c>
      <c r="L144" s="82" t="n">
        <v>46508</v>
      </c>
      <c r="M144" s="73" t="s">
        <v>39</v>
      </c>
      <c r="N144" s="73" t="s">
        <v>540</v>
      </c>
      <c r="O144" s="73"/>
      <c r="P144" s="73"/>
      <c r="Q144" s="73"/>
      <c r="R144" s="73"/>
    </row>
    <row r="145" s="83" customFormat="true" ht="64.5" hidden="false" customHeight="true" outlineLevel="1" collapsed="false">
      <c r="A145" s="81" t="n">
        <v>3</v>
      </c>
      <c r="B145" s="73" t="s">
        <v>97</v>
      </c>
      <c r="C145" s="73" t="s">
        <v>52</v>
      </c>
      <c r="D145" s="81" t="s">
        <v>124</v>
      </c>
      <c r="E145" s="72"/>
      <c r="F145" s="73" t="s">
        <v>541</v>
      </c>
      <c r="G145" s="73" t="s">
        <v>542</v>
      </c>
      <c r="H145" s="73" t="s">
        <v>543</v>
      </c>
      <c r="I145" s="72" t="s">
        <v>101</v>
      </c>
      <c r="J145" s="73" t="s">
        <v>148</v>
      </c>
      <c r="K145" s="82" t="n">
        <v>46447</v>
      </c>
      <c r="L145" s="82" t="n">
        <v>46507</v>
      </c>
      <c r="M145" s="73" t="s">
        <v>39</v>
      </c>
      <c r="N145" s="73" t="s">
        <v>544</v>
      </c>
      <c r="O145" s="73"/>
      <c r="P145" s="73"/>
      <c r="Q145" s="73"/>
      <c r="R145" s="73"/>
    </row>
    <row r="146" customFormat="false" ht="64.5" hidden="false" customHeight="true" outlineLevel="0" collapsed="false">
      <c r="A146" s="84" t="n">
        <v>2</v>
      </c>
      <c r="B146" s="85" t="s">
        <v>97</v>
      </c>
      <c r="C146" s="85" t="s">
        <v>52</v>
      </c>
      <c r="D146" s="84" t="s">
        <v>124</v>
      </c>
      <c r="E146" s="85"/>
      <c r="F146" s="85" t="s">
        <v>545</v>
      </c>
      <c r="G146" s="86" t="s">
        <v>546</v>
      </c>
      <c r="H146" s="86" t="s">
        <v>547</v>
      </c>
      <c r="I146" s="85" t="s">
        <v>101</v>
      </c>
      <c r="J146" s="85" t="s">
        <v>148</v>
      </c>
      <c r="K146" s="87" t="n">
        <v>46209</v>
      </c>
      <c r="L146" s="87" t="n">
        <v>46507</v>
      </c>
      <c r="M146" s="85" t="s">
        <v>34</v>
      </c>
      <c r="N146" s="86" t="s">
        <v>548</v>
      </c>
      <c r="O146" s="85"/>
      <c r="P146" s="85"/>
      <c r="Q146" s="72"/>
      <c r="R146" s="72"/>
    </row>
    <row r="147" customFormat="false" ht="25.5" hidden="false" customHeight="true" outlineLevel="1" collapsed="false">
      <c r="A147" s="71" t="n">
        <v>3</v>
      </c>
      <c r="B147" s="72" t="s">
        <v>97</v>
      </c>
      <c r="C147" s="72" t="s">
        <v>52</v>
      </c>
      <c r="D147" s="71" t="s">
        <v>124</v>
      </c>
      <c r="E147" s="72"/>
      <c r="F147" s="72" t="s">
        <v>549</v>
      </c>
      <c r="G147" s="73" t="s">
        <v>550</v>
      </c>
      <c r="H147" s="73" t="s">
        <v>551</v>
      </c>
      <c r="I147" s="72" t="s">
        <v>101</v>
      </c>
      <c r="J147" s="72" t="s">
        <v>148</v>
      </c>
      <c r="K147" s="74" t="n">
        <v>46209</v>
      </c>
      <c r="L147" s="74" t="n">
        <v>46507</v>
      </c>
      <c r="M147" s="72" t="s">
        <v>34</v>
      </c>
      <c r="N147" s="73" t="s">
        <v>552</v>
      </c>
      <c r="O147" s="72"/>
      <c r="P147" s="72"/>
      <c r="Q147" s="72"/>
      <c r="R147" s="72"/>
    </row>
    <row r="148" customFormat="false" ht="39" hidden="false" customHeight="true" outlineLevel="1" collapsed="false">
      <c r="A148" s="71" t="n">
        <v>3</v>
      </c>
      <c r="B148" s="72" t="s">
        <v>97</v>
      </c>
      <c r="C148" s="72" t="s">
        <v>52</v>
      </c>
      <c r="D148" s="71" t="s">
        <v>124</v>
      </c>
      <c r="E148" s="72"/>
      <c r="F148" s="72" t="s">
        <v>553</v>
      </c>
      <c r="G148" s="73" t="s">
        <v>554</v>
      </c>
      <c r="H148" s="73" t="s">
        <v>555</v>
      </c>
      <c r="I148" s="72" t="s">
        <v>101</v>
      </c>
      <c r="J148" s="72" t="s">
        <v>148</v>
      </c>
      <c r="K148" s="74" t="n">
        <v>46209</v>
      </c>
      <c r="L148" s="74" t="n">
        <v>46507</v>
      </c>
      <c r="M148" s="72" t="s">
        <v>34</v>
      </c>
      <c r="N148" s="73" t="s">
        <v>556</v>
      </c>
      <c r="O148" s="72"/>
      <c r="P148" s="72"/>
      <c r="Q148" s="72"/>
      <c r="R148" s="72"/>
    </row>
    <row r="149" customFormat="false" ht="39" hidden="false" customHeight="true" outlineLevel="1" collapsed="false">
      <c r="A149" s="71" t="n">
        <v>3</v>
      </c>
      <c r="B149" s="72" t="s">
        <v>97</v>
      </c>
      <c r="C149" s="72" t="s">
        <v>52</v>
      </c>
      <c r="D149" s="71" t="s">
        <v>124</v>
      </c>
      <c r="E149" s="72"/>
      <c r="F149" s="72" t="s">
        <v>557</v>
      </c>
      <c r="G149" s="73" t="s">
        <v>558</v>
      </c>
      <c r="H149" s="73" t="s">
        <v>559</v>
      </c>
      <c r="I149" s="72" t="s">
        <v>101</v>
      </c>
      <c r="J149" s="72" t="s">
        <v>148</v>
      </c>
      <c r="K149" s="74" t="n">
        <v>46357</v>
      </c>
      <c r="L149" s="74" t="n">
        <v>46446</v>
      </c>
      <c r="M149" s="72" t="s">
        <v>39</v>
      </c>
      <c r="N149" s="73" t="s">
        <v>560</v>
      </c>
      <c r="O149" s="72"/>
      <c r="P149" s="72"/>
      <c r="Q149" s="72"/>
      <c r="R149" s="72"/>
    </row>
    <row r="150" customFormat="false" ht="39" hidden="false" customHeight="true" outlineLevel="1" collapsed="false">
      <c r="A150" s="71" t="n">
        <v>3</v>
      </c>
      <c r="B150" s="72" t="s">
        <v>97</v>
      </c>
      <c r="C150" s="72" t="s">
        <v>52</v>
      </c>
      <c r="D150" s="71" t="s">
        <v>124</v>
      </c>
      <c r="E150" s="72"/>
      <c r="F150" s="72" t="s">
        <v>561</v>
      </c>
      <c r="G150" s="73" t="s">
        <v>562</v>
      </c>
      <c r="H150" s="73" t="s">
        <v>563</v>
      </c>
      <c r="I150" s="72" t="s">
        <v>101</v>
      </c>
      <c r="J150" s="72" t="s">
        <v>148</v>
      </c>
      <c r="K150" s="74" t="n">
        <v>46419</v>
      </c>
      <c r="L150" s="74" t="n">
        <v>46507</v>
      </c>
      <c r="M150" s="72" t="s">
        <v>39</v>
      </c>
      <c r="N150" s="73" t="s">
        <v>564</v>
      </c>
      <c r="O150" s="72"/>
      <c r="P150" s="72"/>
      <c r="Q150" s="72"/>
      <c r="R150" s="72"/>
    </row>
    <row r="151" customFormat="false" ht="39" hidden="false" customHeight="true" outlineLevel="1" collapsed="false">
      <c r="A151" s="71" t="n">
        <v>3</v>
      </c>
      <c r="B151" s="72" t="s">
        <v>97</v>
      </c>
      <c r="C151" s="72" t="s">
        <v>52</v>
      </c>
      <c r="D151" s="71" t="s">
        <v>124</v>
      </c>
      <c r="E151" s="72"/>
      <c r="F151" s="72" t="s">
        <v>565</v>
      </c>
      <c r="G151" s="73" t="s">
        <v>566</v>
      </c>
      <c r="H151" s="73" t="s">
        <v>567</v>
      </c>
      <c r="I151" s="72" t="s">
        <v>101</v>
      </c>
      <c r="J151" s="72" t="s">
        <v>148</v>
      </c>
      <c r="K151" s="74" t="n">
        <v>46266</v>
      </c>
      <c r="L151" s="74" t="n">
        <v>46507</v>
      </c>
      <c r="M151" s="72" t="s">
        <v>39</v>
      </c>
      <c r="N151" s="73" t="s">
        <v>568</v>
      </c>
      <c r="O151" s="72"/>
      <c r="P151" s="72"/>
      <c r="Q151" s="72"/>
      <c r="R151" s="72"/>
    </row>
    <row r="152" customFormat="false" ht="48.75" hidden="false" customHeight="true" outlineLevel="0" collapsed="false">
      <c r="A152" s="59" t="n">
        <v>2</v>
      </c>
      <c r="B152" s="59" t="s">
        <v>97</v>
      </c>
      <c r="C152" s="59" t="s">
        <v>569</v>
      </c>
      <c r="D152" s="59" t="s">
        <v>570</v>
      </c>
      <c r="E152" s="60"/>
      <c r="F152" s="60"/>
      <c r="G152" s="61" t="s">
        <v>571</v>
      </c>
      <c r="H152" s="61" t="s">
        <v>572</v>
      </c>
      <c r="I152" s="60" t="s">
        <v>101</v>
      </c>
      <c r="J152" s="62" t="s">
        <v>573</v>
      </c>
      <c r="K152" s="63"/>
      <c r="L152" s="63"/>
      <c r="M152" s="64" t="s">
        <v>31</v>
      </c>
      <c r="N152" s="61"/>
      <c r="O152" s="61"/>
      <c r="P152" s="61"/>
      <c r="Q152" s="61"/>
      <c r="R152" s="61"/>
    </row>
    <row r="153" customFormat="false" ht="27.75" hidden="false" customHeight="true" outlineLevel="0" collapsed="false">
      <c r="A153" s="48" t="n">
        <v>1</v>
      </c>
      <c r="B153" s="48" t="s">
        <v>11</v>
      </c>
      <c r="C153" s="48" t="s">
        <v>52</v>
      </c>
      <c r="D153" s="49" t="s">
        <v>574</v>
      </c>
      <c r="E153" s="50"/>
      <c r="F153" s="48" t="s">
        <v>575</v>
      </c>
      <c r="G153" s="51" t="s">
        <v>576</v>
      </c>
      <c r="H153" s="50"/>
      <c r="I153" s="50" t="s">
        <v>77</v>
      </c>
      <c r="J153" s="48"/>
      <c r="K153" s="52"/>
      <c r="L153" s="52" t="n">
        <v>46447</v>
      </c>
      <c r="M153" s="88" t="s">
        <v>41</v>
      </c>
      <c r="N153" s="50" t="s">
        <v>577</v>
      </c>
      <c r="O153" s="50"/>
      <c r="P153" s="50"/>
      <c r="Q153" s="50"/>
      <c r="R153" s="50"/>
    </row>
    <row r="154" customFormat="false" ht="27.75" hidden="false" customHeight="true" outlineLevel="0" collapsed="false">
      <c r="A154" s="48" t="n">
        <v>1</v>
      </c>
      <c r="B154" s="48" t="s">
        <v>11</v>
      </c>
      <c r="C154" s="48" t="s">
        <v>52</v>
      </c>
      <c r="D154" s="49" t="s">
        <v>574</v>
      </c>
      <c r="E154" s="50"/>
      <c r="F154" s="48" t="s">
        <v>578</v>
      </c>
      <c r="G154" s="51" t="s">
        <v>579</v>
      </c>
      <c r="H154" s="50"/>
      <c r="I154" s="50" t="s">
        <v>77</v>
      </c>
      <c r="J154" s="48"/>
      <c r="K154" s="52"/>
      <c r="L154" s="52" t="n">
        <v>46508</v>
      </c>
      <c r="M154" s="88" t="s">
        <v>41</v>
      </c>
      <c r="N154" s="50" t="s">
        <v>577</v>
      </c>
      <c r="O154" s="50"/>
      <c r="P154" s="50"/>
      <c r="Q154" s="50"/>
      <c r="R154" s="50"/>
    </row>
    <row r="155" customFormat="false" ht="27.75" hidden="false" customHeight="true" outlineLevel="0" collapsed="false">
      <c r="A155" s="48" t="n">
        <v>1</v>
      </c>
      <c r="B155" s="48" t="s">
        <v>11</v>
      </c>
      <c r="C155" s="48" t="s">
        <v>52</v>
      </c>
      <c r="D155" s="49" t="s">
        <v>574</v>
      </c>
      <c r="E155" s="50"/>
      <c r="F155" s="48" t="s">
        <v>580</v>
      </c>
      <c r="G155" s="51" t="s">
        <v>581</v>
      </c>
      <c r="H155" s="50"/>
      <c r="I155" s="50" t="s">
        <v>77</v>
      </c>
      <c r="J155" s="48"/>
      <c r="K155" s="52"/>
      <c r="L155" s="52"/>
      <c r="M155" s="88" t="s">
        <v>41</v>
      </c>
      <c r="N155" s="50" t="s">
        <v>577</v>
      </c>
      <c r="O155" s="50"/>
      <c r="P155" s="50"/>
      <c r="Q155" s="50"/>
      <c r="R155" s="50"/>
    </row>
    <row r="156" customFormat="false" ht="27.75" hidden="false" customHeight="true" outlineLevel="0" collapsed="false">
      <c r="A156" s="48" t="n">
        <v>1</v>
      </c>
      <c r="B156" s="48" t="s">
        <v>11</v>
      </c>
      <c r="C156" s="48" t="s">
        <v>52</v>
      </c>
      <c r="D156" s="49" t="s">
        <v>574</v>
      </c>
      <c r="E156" s="50"/>
      <c r="F156" s="48" t="s">
        <v>582</v>
      </c>
      <c r="G156" s="51" t="s">
        <v>583</v>
      </c>
      <c r="H156" s="50"/>
      <c r="I156" s="50" t="s">
        <v>77</v>
      </c>
      <c r="J156" s="48"/>
      <c r="K156" s="52"/>
      <c r="L156" s="52"/>
      <c r="M156" s="88" t="s">
        <v>41</v>
      </c>
      <c r="N156" s="50" t="s">
        <v>577</v>
      </c>
      <c r="O156" s="50"/>
      <c r="P156" s="50"/>
      <c r="Q156" s="50"/>
      <c r="R156" s="50"/>
    </row>
    <row r="157" customFormat="false" ht="15.75" hidden="false" customHeight="false" outlineLevel="0" collapsed="false">
      <c r="A157" s="48" t="n">
        <v>1</v>
      </c>
      <c r="B157" s="48" t="s">
        <v>11</v>
      </c>
      <c r="C157" s="48" t="s">
        <v>52</v>
      </c>
      <c r="D157" s="49" t="s">
        <v>574</v>
      </c>
      <c r="E157" s="50"/>
      <c r="F157" s="48" t="s">
        <v>584</v>
      </c>
      <c r="G157" s="51" t="s">
        <v>585</v>
      </c>
      <c r="H157" s="50"/>
      <c r="I157" s="50" t="s">
        <v>77</v>
      </c>
      <c r="J157" s="48"/>
      <c r="K157" s="52"/>
      <c r="L157" s="52"/>
      <c r="M157" s="88" t="s">
        <v>41</v>
      </c>
      <c r="N157" s="50"/>
      <c r="O157" s="50"/>
      <c r="P157" s="50"/>
      <c r="Q157" s="50"/>
      <c r="R157" s="50"/>
    </row>
    <row r="158" customFormat="false" ht="15.75" hidden="false" customHeight="false" outlineLevel="0" collapsed="false">
      <c r="A158" s="48" t="n">
        <v>1</v>
      </c>
      <c r="B158" s="48" t="s">
        <v>11</v>
      </c>
      <c r="C158" s="48" t="s">
        <v>52</v>
      </c>
      <c r="D158" s="49" t="s">
        <v>574</v>
      </c>
      <c r="E158" s="50"/>
      <c r="F158" s="48" t="s">
        <v>586</v>
      </c>
      <c r="G158" s="51" t="s">
        <v>587</v>
      </c>
      <c r="H158" s="50"/>
      <c r="I158" s="50" t="s">
        <v>77</v>
      </c>
      <c r="J158" s="48"/>
      <c r="K158" s="52"/>
      <c r="L158" s="52" t="n">
        <v>46296</v>
      </c>
      <c r="M158" s="54" t="s">
        <v>34</v>
      </c>
      <c r="N158" s="50" t="s">
        <v>577</v>
      </c>
      <c r="O158" s="50"/>
      <c r="P158" s="50"/>
      <c r="Q158" s="50"/>
      <c r="R158" s="50"/>
    </row>
    <row r="159" customFormat="false" ht="15.75" hidden="false" customHeight="false" outlineLevel="0" collapsed="false">
      <c r="A159" s="48" t="n">
        <v>1</v>
      </c>
      <c r="B159" s="48" t="s">
        <v>11</v>
      </c>
      <c r="C159" s="48" t="s">
        <v>52</v>
      </c>
      <c r="D159" s="49" t="s">
        <v>588</v>
      </c>
      <c r="E159" s="50"/>
      <c r="F159" s="48" t="s">
        <v>589</v>
      </c>
      <c r="G159" s="51" t="s">
        <v>590</v>
      </c>
      <c r="H159" s="50"/>
      <c r="I159" s="50" t="s">
        <v>77</v>
      </c>
      <c r="J159" s="48"/>
      <c r="K159" s="52"/>
      <c r="L159" s="52" t="n">
        <v>46218</v>
      </c>
      <c r="M159" s="54" t="s">
        <v>37</v>
      </c>
      <c r="N159" s="50"/>
      <c r="O159" s="50"/>
      <c r="P159" s="50"/>
      <c r="Q159" s="50"/>
      <c r="R159" s="50"/>
    </row>
    <row r="160" customFormat="false" ht="15.75" hidden="false" customHeight="false" outlineLevel="0" collapsed="false">
      <c r="A160" s="48" t="n">
        <v>1</v>
      </c>
      <c r="B160" s="48" t="s">
        <v>11</v>
      </c>
      <c r="C160" s="48" t="s">
        <v>52</v>
      </c>
      <c r="D160" s="49" t="s">
        <v>588</v>
      </c>
      <c r="E160" s="50"/>
      <c r="F160" s="48" t="s">
        <v>591</v>
      </c>
      <c r="G160" s="51" t="s">
        <v>592</v>
      </c>
      <c r="H160" s="50"/>
      <c r="I160" s="50" t="s">
        <v>77</v>
      </c>
      <c r="J160" s="48"/>
      <c r="K160" s="52"/>
      <c r="L160" s="52" t="n">
        <v>46447</v>
      </c>
      <c r="M160" s="54" t="s">
        <v>34</v>
      </c>
      <c r="N160" s="50"/>
      <c r="O160" s="50"/>
      <c r="P160" s="50"/>
      <c r="Q160" s="50"/>
      <c r="R160" s="50"/>
    </row>
    <row r="161" customFormat="false" ht="27.75" hidden="false" customHeight="true" outlineLevel="0" collapsed="false">
      <c r="A161" s="48" t="n">
        <v>1</v>
      </c>
      <c r="B161" s="48" t="s">
        <v>11</v>
      </c>
      <c r="C161" s="48" t="s">
        <v>52</v>
      </c>
      <c r="D161" s="49" t="s">
        <v>588</v>
      </c>
      <c r="E161" s="50"/>
      <c r="F161" s="48" t="s">
        <v>593</v>
      </c>
      <c r="G161" s="51" t="s">
        <v>594</v>
      </c>
      <c r="H161" s="50"/>
      <c r="I161" s="50" t="s">
        <v>77</v>
      </c>
      <c r="J161" s="48"/>
      <c r="K161" s="52"/>
      <c r="L161" s="52" t="n">
        <v>46296</v>
      </c>
      <c r="M161" s="54" t="s">
        <v>34</v>
      </c>
      <c r="N161" s="50"/>
      <c r="O161" s="50"/>
      <c r="P161" s="50"/>
      <c r="Q161" s="50"/>
      <c r="R161" s="50"/>
    </row>
    <row r="162" customFormat="false" ht="15.75" hidden="false" customHeight="false" outlineLevel="0" collapsed="false">
      <c r="A162" s="49" t="n">
        <v>1</v>
      </c>
      <c r="B162" s="49" t="s">
        <v>11</v>
      </c>
      <c r="C162" s="49" t="s">
        <v>52</v>
      </c>
      <c r="D162" s="49" t="s">
        <v>588</v>
      </c>
      <c r="E162" s="50"/>
      <c r="F162" s="48" t="s">
        <v>85</v>
      </c>
      <c r="G162" s="57" t="s">
        <v>595</v>
      </c>
      <c r="H162" s="50"/>
      <c r="I162" s="50" t="s">
        <v>77</v>
      </c>
      <c r="J162" s="48"/>
      <c r="K162" s="52"/>
      <c r="L162" s="52"/>
      <c r="M162" s="58" t="s">
        <v>41</v>
      </c>
      <c r="N162" s="50" t="s">
        <v>92</v>
      </c>
      <c r="O162" s="50"/>
      <c r="P162" s="50"/>
      <c r="Q162" s="50"/>
      <c r="R162" s="50"/>
    </row>
    <row r="163" customFormat="false" ht="15.75" hidden="false" customHeight="false" outlineLevel="0" collapsed="false">
      <c r="A163" s="49" t="n">
        <v>1</v>
      </c>
      <c r="B163" s="49" t="s">
        <v>11</v>
      </c>
      <c r="C163" s="49" t="s">
        <v>52</v>
      </c>
      <c r="D163" s="49" t="s">
        <v>588</v>
      </c>
      <c r="E163" s="50"/>
      <c r="F163" s="48" t="s">
        <v>85</v>
      </c>
      <c r="G163" s="57" t="s">
        <v>596</v>
      </c>
      <c r="H163" s="50" t="s">
        <v>597</v>
      </c>
      <c r="I163" s="50" t="s">
        <v>77</v>
      </c>
      <c r="J163" s="48"/>
      <c r="K163" s="52"/>
      <c r="L163" s="52" t="n">
        <v>46266</v>
      </c>
      <c r="M163" s="58" t="s">
        <v>39</v>
      </c>
      <c r="N163" s="50" t="s">
        <v>92</v>
      </c>
      <c r="O163" s="50"/>
      <c r="P163" s="50"/>
      <c r="Q163" s="50"/>
      <c r="R163" s="50"/>
    </row>
    <row r="164" customFormat="false" ht="15.75" hidden="false" customHeight="false" outlineLevel="0" collapsed="false">
      <c r="A164" s="49" t="n">
        <v>1</v>
      </c>
      <c r="B164" s="49" t="s">
        <v>11</v>
      </c>
      <c r="C164" s="49" t="s">
        <v>52</v>
      </c>
      <c r="D164" s="49" t="s">
        <v>588</v>
      </c>
      <c r="E164" s="50"/>
      <c r="F164" s="48" t="s">
        <v>85</v>
      </c>
      <c r="G164" s="57" t="s">
        <v>598</v>
      </c>
      <c r="H164" s="50"/>
      <c r="I164" s="50" t="s">
        <v>77</v>
      </c>
      <c r="J164" s="48"/>
      <c r="K164" s="52"/>
      <c r="L164" s="52" t="n">
        <v>46310</v>
      </c>
      <c r="M164" s="58" t="s">
        <v>39</v>
      </c>
      <c r="N164" s="50" t="s">
        <v>92</v>
      </c>
      <c r="O164" s="50"/>
      <c r="P164" s="50"/>
      <c r="Q164" s="50"/>
      <c r="R164" s="50"/>
    </row>
    <row r="165" customFormat="false" ht="15.75" hidden="false" customHeight="false" outlineLevel="0" collapsed="false">
      <c r="A165" s="49" t="n">
        <v>1</v>
      </c>
      <c r="B165" s="49" t="s">
        <v>11</v>
      </c>
      <c r="C165" s="49" t="s">
        <v>52</v>
      </c>
      <c r="D165" s="49" t="s">
        <v>588</v>
      </c>
      <c r="E165" s="50"/>
      <c r="F165" s="48" t="s">
        <v>85</v>
      </c>
      <c r="G165" s="57" t="s">
        <v>599</v>
      </c>
      <c r="H165" s="50" t="s">
        <v>600</v>
      </c>
      <c r="I165" s="50" t="s">
        <v>77</v>
      </c>
      <c r="J165" s="48"/>
      <c r="K165" s="52"/>
      <c r="L165" s="52"/>
      <c r="M165" s="58"/>
      <c r="N165" s="50"/>
      <c r="O165" s="50"/>
      <c r="P165" s="50"/>
      <c r="Q165" s="50"/>
      <c r="R165" s="50"/>
    </row>
    <row r="166" customFormat="false" ht="15.75" hidden="false" customHeight="false" outlineLevel="0" collapsed="false">
      <c r="A166" s="48" t="n">
        <v>1</v>
      </c>
      <c r="B166" s="48" t="s">
        <v>11</v>
      </c>
      <c r="C166" s="48"/>
      <c r="D166" s="49" t="s">
        <v>601</v>
      </c>
      <c r="E166" s="89" t="s">
        <v>602</v>
      </c>
      <c r="F166" s="48" t="s">
        <v>603</v>
      </c>
      <c r="G166" s="51" t="s">
        <v>604</v>
      </c>
      <c r="H166" s="50"/>
      <c r="I166" s="50" t="s">
        <v>77</v>
      </c>
      <c r="J166" s="48"/>
      <c r="K166" s="52"/>
      <c r="L166" s="52" t="n">
        <v>46402</v>
      </c>
      <c r="M166" s="88" t="s">
        <v>41</v>
      </c>
      <c r="N166" s="50"/>
      <c r="O166" s="50"/>
      <c r="P166" s="50"/>
      <c r="Q166" s="50"/>
      <c r="R166" s="50"/>
    </row>
    <row r="167" customFormat="false" ht="15.75" hidden="false" customHeight="false" outlineLevel="0" collapsed="false">
      <c r="A167" s="48" t="n">
        <v>1</v>
      </c>
      <c r="B167" s="48" t="s">
        <v>11</v>
      </c>
      <c r="C167" s="48" t="s">
        <v>52</v>
      </c>
      <c r="D167" s="49" t="s">
        <v>605</v>
      </c>
      <c r="E167" s="50"/>
      <c r="F167" s="48" t="s">
        <v>606</v>
      </c>
      <c r="G167" s="51" t="s">
        <v>607</v>
      </c>
      <c r="H167" s="50"/>
      <c r="I167" s="50" t="s">
        <v>77</v>
      </c>
      <c r="J167" s="48"/>
      <c r="K167" s="52"/>
      <c r="L167" s="52" t="n">
        <v>45960</v>
      </c>
      <c r="M167" s="90" t="s">
        <v>31</v>
      </c>
      <c r="N167" s="50"/>
      <c r="O167" s="50"/>
      <c r="P167" s="50"/>
      <c r="Q167" s="50"/>
      <c r="R167" s="50"/>
    </row>
    <row r="168" customFormat="false" ht="15.75" hidden="false" customHeight="false" outlineLevel="0" collapsed="false">
      <c r="A168" s="48" t="n">
        <v>1</v>
      </c>
      <c r="B168" s="48" t="s">
        <v>11</v>
      </c>
      <c r="C168" s="48" t="s">
        <v>52</v>
      </c>
      <c r="D168" s="49" t="s">
        <v>605</v>
      </c>
      <c r="E168" s="50"/>
      <c r="F168" s="48" t="s">
        <v>608</v>
      </c>
      <c r="G168" s="51" t="s">
        <v>609</v>
      </c>
      <c r="H168" s="50"/>
      <c r="I168" s="50" t="s">
        <v>77</v>
      </c>
      <c r="J168" s="48"/>
      <c r="K168" s="52"/>
      <c r="L168" s="52" t="n">
        <v>46054</v>
      </c>
      <c r="M168" s="90" t="s">
        <v>31</v>
      </c>
      <c r="N168" s="50"/>
      <c r="O168" s="50"/>
      <c r="P168" s="50"/>
      <c r="Q168" s="50"/>
      <c r="R168" s="50"/>
    </row>
    <row r="169" customFormat="false" ht="27.75" hidden="false" customHeight="true" outlineLevel="0" collapsed="false">
      <c r="A169" s="48" t="n">
        <v>1</v>
      </c>
      <c r="B169" s="48" t="s">
        <v>11</v>
      </c>
      <c r="C169" s="48" t="s">
        <v>52</v>
      </c>
      <c r="D169" s="49" t="s">
        <v>605</v>
      </c>
      <c r="E169" s="50"/>
      <c r="F169" s="48" t="s">
        <v>610</v>
      </c>
      <c r="G169" s="51" t="s">
        <v>611</v>
      </c>
      <c r="H169" s="50"/>
      <c r="I169" s="50" t="s">
        <v>77</v>
      </c>
      <c r="J169" s="48"/>
      <c r="K169" s="52"/>
      <c r="L169" s="52" t="n">
        <v>46266</v>
      </c>
      <c r="M169" s="54" t="s">
        <v>34</v>
      </c>
      <c r="N169" s="50"/>
      <c r="O169" s="50"/>
      <c r="P169" s="50"/>
      <c r="Q169" s="50"/>
      <c r="R169" s="50"/>
    </row>
    <row r="170" customFormat="false" ht="15.75" hidden="false" customHeight="false" outlineLevel="0" collapsed="false">
      <c r="A170" s="48" t="n">
        <v>1</v>
      </c>
      <c r="B170" s="48" t="s">
        <v>11</v>
      </c>
      <c r="C170" s="48" t="s">
        <v>52</v>
      </c>
      <c r="D170" s="49" t="s">
        <v>605</v>
      </c>
      <c r="E170" s="50"/>
      <c r="F170" s="48" t="s">
        <v>612</v>
      </c>
      <c r="G170" s="51" t="s">
        <v>613</v>
      </c>
      <c r="H170" s="50"/>
      <c r="I170" s="50" t="s">
        <v>77</v>
      </c>
      <c r="J170" s="48"/>
      <c r="K170" s="52"/>
      <c r="L170" s="52" t="n">
        <v>46204</v>
      </c>
      <c r="M170" s="54" t="s">
        <v>34</v>
      </c>
      <c r="N170" s="50"/>
      <c r="O170" s="50"/>
      <c r="P170" s="50"/>
      <c r="Q170" s="50"/>
      <c r="R170" s="50"/>
    </row>
    <row r="171" customFormat="false" ht="15.75" hidden="false" customHeight="false" outlineLevel="0" collapsed="false">
      <c r="A171" s="48" t="n">
        <v>1</v>
      </c>
      <c r="B171" s="48" t="s">
        <v>11</v>
      </c>
      <c r="C171" s="48" t="s">
        <v>52</v>
      </c>
      <c r="D171" s="49" t="s">
        <v>605</v>
      </c>
      <c r="E171" s="50"/>
      <c r="F171" s="48" t="s">
        <v>614</v>
      </c>
      <c r="G171" s="51" t="s">
        <v>615</v>
      </c>
      <c r="H171" s="50"/>
      <c r="I171" s="50" t="s">
        <v>77</v>
      </c>
      <c r="J171" s="48"/>
      <c r="K171" s="52"/>
      <c r="L171" s="52" t="n">
        <v>46478</v>
      </c>
      <c r="M171" s="54" t="s">
        <v>34</v>
      </c>
      <c r="N171" s="50"/>
      <c r="O171" s="50"/>
      <c r="P171" s="50"/>
      <c r="Q171" s="50"/>
      <c r="R171" s="50"/>
    </row>
    <row r="172" customFormat="false" ht="27.75" hidden="false" customHeight="true" outlineLevel="0" collapsed="false">
      <c r="A172" s="48" t="n">
        <v>1</v>
      </c>
      <c r="B172" s="48" t="s">
        <v>11</v>
      </c>
      <c r="C172" s="48" t="s">
        <v>52</v>
      </c>
      <c r="D172" s="49" t="s">
        <v>605</v>
      </c>
      <c r="E172" s="50"/>
      <c r="F172" s="48" t="s">
        <v>616</v>
      </c>
      <c r="G172" s="51" t="s">
        <v>617</v>
      </c>
      <c r="H172" s="50"/>
      <c r="I172" s="50" t="s">
        <v>77</v>
      </c>
      <c r="J172" s="48"/>
      <c r="K172" s="52"/>
      <c r="L172" s="52" t="n">
        <v>46507</v>
      </c>
      <c r="M172" s="54" t="s">
        <v>34</v>
      </c>
      <c r="N172" s="50"/>
      <c r="O172" s="50"/>
      <c r="P172" s="50"/>
      <c r="Q172" s="50"/>
      <c r="R172" s="50"/>
    </row>
    <row r="173" customFormat="false" ht="27.75" hidden="false" customHeight="true" outlineLevel="0" collapsed="false">
      <c r="A173" s="48" t="n">
        <v>1</v>
      </c>
      <c r="B173" s="48" t="s">
        <v>11</v>
      </c>
      <c r="C173" s="48" t="s">
        <v>52</v>
      </c>
      <c r="D173" s="49" t="s">
        <v>605</v>
      </c>
      <c r="E173" s="50"/>
      <c r="F173" s="48" t="s">
        <v>618</v>
      </c>
      <c r="G173" s="51" t="s">
        <v>619</v>
      </c>
      <c r="H173" s="50"/>
      <c r="I173" s="50" t="s">
        <v>77</v>
      </c>
      <c r="J173" s="48"/>
      <c r="K173" s="52"/>
      <c r="L173" s="52" t="n">
        <v>46508</v>
      </c>
      <c r="M173" s="88" t="s">
        <v>41</v>
      </c>
      <c r="N173" s="50"/>
      <c r="O173" s="50"/>
      <c r="P173" s="50"/>
      <c r="Q173" s="50"/>
      <c r="R173" s="50"/>
    </row>
    <row r="174" customFormat="false" ht="27.75" hidden="false" customHeight="true" outlineLevel="0" collapsed="false">
      <c r="A174" s="48" t="n">
        <v>1</v>
      </c>
      <c r="B174" s="48" t="s">
        <v>11</v>
      </c>
      <c r="C174" s="48" t="s">
        <v>52</v>
      </c>
      <c r="D174" s="49" t="s">
        <v>605</v>
      </c>
      <c r="E174" s="48"/>
      <c r="F174" s="48" t="s">
        <v>85</v>
      </c>
      <c r="G174" s="57" t="s">
        <v>620</v>
      </c>
      <c r="H174" s="50" t="s">
        <v>621</v>
      </c>
      <c r="I174" s="50" t="s">
        <v>77</v>
      </c>
      <c r="J174" s="48"/>
      <c r="K174" s="52"/>
      <c r="L174" s="52" t="n">
        <v>46341</v>
      </c>
      <c r="M174" s="58" t="s">
        <v>39</v>
      </c>
      <c r="N174" s="50" t="s">
        <v>92</v>
      </c>
      <c r="O174" s="50"/>
      <c r="P174" s="50"/>
      <c r="Q174" s="50"/>
      <c r="R174" s="50"/>
    </row>
    <row r="175" customFormat="false" ht="27.75" hidden="false" customHeight="true" outlineLevel="0" collapsed="false">
      <c r="A175" s="48" t="n">
        <v>1</v>
      </c>
      <c r="B175" s="48" t="s">
        <v>11</v>
      </c>
      <c r="C175" s="48" t="s">
        <v>52</v>
      </c>
      <c r="D175" s="49" t="s">
        <v>605</v>
      </c>
      <c r="E175" s="48"/>
      <c r="F175" s="48" t="s">
        <v>85</v>
      </c>
      <c r="G175" s="57" t="s">
        <v>622</v>
      </c>
      <c r="H175" s="50" t="s">
        <v>623</v>
      </c>
      <c r="I175" s="50" t="s">
        <v>77</v>
      </c>
      <c r="J175" s="48"/>
      <c r="K175" s="52"/>
      <c r="L175" s="52" t="n">
        <v>46310</v>
      </c>
      <c r="M175" s="58" t="s">
        <v>39</v>
      </c>
      <c r="N175" s="50" t="s">
        <v>92</v>
      </c>
      <c r="O175" s="50"/>
      <c r="P175" s="50"/>
      <c r="Q175" s="50"/>
      <c r="R175" s="50"/>
    </row>
    <row r="176" customFormat="false" ht="27.75" hidden="false" customHeight="true" outlineLevel="0" collapsed="false">
      <c r="A176" s="48" t="n">
        <v>1</v>
      </c>
      <c r="B176" s="48" t="s">
        <v>11</v>
      </c>
      <c r="C176" s="48" t="s">
        <v>52</v>
      </c>
      <c r="D176" s="49" t="s">
        <v>605</v>
      </c>
      <c r="E176" s="48"/>
      <c r="F176" s="48" t="s">
        <v>85</v>
      </c>
      <c r="G176" s="57" t="s">
        <v>624</v>
      </c>
      <c r="H176" s="50" t="s">
        <v>625</v>
      </c>
      <c r="I176" s="50" t="s">
        <v>77</v>
      </c>
      <c r="J176" s="48"/>
      <c r="K176" s="52"/>
      <c r="L176" s="52" t="n">
        <v>46357</v>
      </c>
      <c r="M176" s="58" t="s">
        <v>39</v>
      </c>
      <c r="N176" s="50" t="s">
        <v>92</v>
      </c>
      <c r="O176" s="50"/>
      <c r="P176" s="50"/>
      <c r="Q176" s="50"/>
      <c r="R176" s="50"/>
    </row>
    <row r="177" customFormat="false" ht="27.75" hidden="false" customHeight="true" outlineLevel="0" collapsed="false">
      <c r="A177" s="48" t="n">
        <v>1</v>
      </c>
      <c r="B177" s="48" t="s">
        <v>11</v>
      </c>
      <c r="C177" s="48" t="s">
        <v>52</v>
      </c>
      <c r="D177" s="49" t="s">
        <v>605</v>
      </c>
      <c r="E177" s="48"/>
      <c r="F177" s="48" t="s">
        <v>85</v>
      </c>
      <c r="G177" s="57" t="s">
        <v>626</v>
      </c>
      <c r="H177" s="50" t="s">
        <v>627</v>
      </c>
      <c r="I177" s="50" t="s">
        <v>77</v>
      </c>
      <c r="J177" s="48"/>
      <c r="K177" s="52"/>
      <c r="L177" s="52" t="n">
        <v>46295</v>
      </c>
      <c r="M177" s="58" t="s">
        <v>39</v>
      </c>
      <c r="N177" s="50" t="s">
        <v>92</v>
      </c>
      <c r="O177" s="50"/>
      <c r="P177" s="50"/>
      <c r="Q177" s="50"/>
      <c r="R177" s="50"/>
    </row>
    <row r="178" customFormat="false" ht="27.75" hidden="false" customHeight="true" outlineLevel="0" collapsed="false">
      <c r="A178" s="48" t="n">
        <v>1</v>
      </c>
      <c r="B178" s="48" t="s">
        <v>11</v>
      </c>
      <c r="C178" s="48" t="s">
        <v>52</v>
      </c>
      <c r="D178" s="49" t="s">
        <v>605</v>
      </c>
      <c r="E178" s="48"/>
      <c r="F178" s="91" t="s">
        <v>85</v>
      </c>
      <c r="G178" s="92" t="s">
        <v>628</v>
      </c>
      <c r="H178" s="93" t="s">
        <v>629</v>
      </c>
      <c r="I178" s="93" t="s">
        <v>77</v>
      </c>
      <c r="J178" s="91"/>
      <c r="K178" s="94"/>
      <c r="L178" s="52" t="n">
        <v>46296</v>
      </c>
      <c r="M178" s="95" t="s">
        <v>39</v>
      </c>
      <c r="N178" s="93" t="s">
        <v>92</v>
      </c>
      <c r="O178" s="93"/>
      <c r="P178" s="93"/>
      <c r="Q178" s="93" t="s">
        <v>630</v>
      </c>
      <c r="R178" s="93"/>
    </row>
    <row r="179" customFormat="false" ht="27.75" hidden="false" customHeight="true" outlineLevel="0" collapsed="false">
      <c r="A179" s="48" t="n">
        <v>1</v>
      </c>
      <c r="B179" s="48" t="s">
        <v>11</v>
      </c>
      <c r="C179" s="48" t="s">
        <v>52</v>
      </c>
      <c r="D179" s="49" t="s">
        <v>605</v>
      </c>
      <c r="E179" s="48"/>
      <c r="F179" s="91" t="s">
        <v>85</v>
      </c>
      <c r="G179" s="92" t="s">
        <v>631</v>
      </c>
      <c r="H179" s="93" t="s">
        <v>632</v>
      </c>
      <c r="I179" s="93" t="s">
        <v>77</v>
      </c>
      <c r="J179" s="48"/>
      <c r="K179" s="94"/>
      <c r="L179" s="52" t="n">
        <v>46327</v>
      </c>
      <c r="M179" s="95" t="s">
        <v>39</v>
      </c>
      <c r="N179" s="93" t="s">
        <v>92</v>
      </c>
      <c r="O179" s="93"/>
      <c r="P179" s="93"/>
      <c r="Q179" s="93"/>
      <c r="R179" s="93"/>
    </row>
    <row r="180" customFormat="false" ht="27.75" hidden="false" customHeight="true" outlineLevel="0" collapsed="false">
      <c r="A180" s="48" t="n">
        <v>1</v>
      </c>
      <c r="B180" s="48" t="s">
        <v>11</v>
      </c>
      <c r="C180" s="48" t="s">
        <v>52</v>
      </c>
      <c r="D180" s="49" t="s">
        <v>605</v>
      </c>
      <c r="E180" s="48"/>
      <c r="F180" s="48" t="s">
        <v>85</v>
      </c>
      <c r="G180" s="57" t="s">
        <v>633</v>
      </c>
      <c r="H180" s="50" t="s">
        <v>634</v>
      </c>
      <c r="I180" s="50" t="s">
        <v>77</v>
      </c>
      <c r="J180" s="48"/>
      <c r="K180" s="52"/>
      <c r="L180" s="52" t="n">
        <v>46327</v>
      </c>
      <c r="M180" s="58" t="s">
        <v>39</v>
      </c>
      <c r="N180" s="50" t="s">
        <v>92</v>
      </c>
      <c r="O180" s="50"/>
      <c r="P180" s="50"/>
      <c r="Q180" s="50"/>
      <c r="R180" s="50"/>
    </row>
    <row r="181" customFormat="false" ht="27.75" hidden="false" customHeight="true" outlineLevel="0" collapsed="false">
      <c r="A181" s="48" t="n">
        <v>1</v>
      </c>
      <c r="B181" s="48" t="s">
        <v>11</v>
      </c>
      <c r="C181" s="48" t="s">
        <v>52</v>
      </c>
      <c r="D181" s="49" t="s">
        <v>605</v>
      </c>
      <c r="E181" s="48"/>
      <c r="F181" s="48" t="s">
        <v>85</v>
      </c>
      <c r="G181" s="57" t="s">
        <v>635</v>
      </c>
      <c r="H181" s="50" t="s">
        <v>636</v>
      </c>
      <c r="I181" s="50" t="s">
        <v>77</v>
      </c>
      <c r="J181" s="48"/>
      <c r="K181" s="52"/>
      <c r="L181" s="52" t="n">
        <v>46310</v>
      </c>
      <c r="M181" s="58" t="s">
        <v>39</v>
      </c>
      <c r="N181" s="50" t="s">
        <v>92</v>
      </c>
      <c r="O181" s="50"/>
      <c r="P181" s="50"/>
      <c r="Q181" s="50"/>
      <c r="R181" s="50"/>
    </row>
    <row r="182" customFormat="false" ht="27.75" hidden="false" customHeight="true" outlineLevel="0" collapsed="false">
      <c r="A182" s="48" t="n">
        <v>1</v>
      </c>
      <c r="B182" s="48" t="s">
        <v>11</v>
      </c>
      <c r="C182" s="48" t="s">
        <v>52</v>
      </c>
      <c r="D182" s="49" t="s">
        <v>605</v>
      </c>
      <c r="E182" s="48"/>
      <c r="F182" s="48" t="s">
        <v>85</v>
      </c>
      <c r="G182" s="57" t="s">
        <v>637</v>
      </c>
      <c r="H182" s="50" t="s">
        <v>638</v>
      </c>
      <c r="I182" s="50" t="s">
        <v>77</v>
      </c>
      <c r="J182" s="48"/>
      <c r="K182" s="52"/>
      <c r="L182" s="52" t="n">
        <v>46402</v>
      </c>
      <c r="M182" s="58" t="s">
        <v>39</v>
      </c>
      <c r="N182" s="50" t="s">
        <v>92</v>
      </c>
      <c r="O182" s="50"/>
      <c r="P182" s="50"/>
      <c r="Q182" s="50"/>
      <c r="R182" s="50"/>
    </row>
    <row r="183" customFormat="false" ht="27.75" hidden="false" customHeight="true" outlineLevel="0" collapsed="false">
      <c r="A183" s="48" t="n">
        <v>1</v>
      </c>
      <c r="B183" s="48" t="s">
        <v>11</v>
      </c>
      <c r="C183" s="48" t="s">
        <v>52</v>
      </c>
      <c r="D183" s="49" t="s">
        <v>605</v>
      </c>
      <c r="E183" s="48"/>
      <c r="F183" s="48" t="s">
        <v>85</v>
      </c>
      <c r="G183" s="57" t="s">
        <v>639</v>
      </c>
      <c r="H183" s="50" t="s">
        <v>640</v>
      </c>
      <c r="I183" s="50" t="s">
        <v>77</v>
      </c>
      <c r="J183" s="48"/>
      <c r="K183" s="52"/>
      <c r="L183" s="52" t="n">
        <v>46539</v>
      </c>
      <c r="M183" s="58" t="s">
        <v>39</v>
      </c>
      <c r="N183" s="50" t="s">
        <v>92</v>
      </c>
      <c r="O183" s="50"/>
      <c r="P183" s="50"/>
      <c r="Q183" s="50"/>
      <c r="R183" s="50"/>
    </row>
    <row r="184" customFormat="false" ht="30" hidden="false" customHeight="true" outlineLevel="0" collapsed="false">
      <c r="A184" s="59" t="n">
        <v>2</v>
      </c>
      <c r="B184" s="59" t="s">
        <v>97</v>
      </c>
      <c r="C184" s="59" t="s">
        <v>52</v>
      </c>
      <c r="D184" s="59" t="s">
        <v>605</v>
      </c>
      <c r="E184" s="60" t="s">
        <v>641</v>
      </c>
      <c r="F184" s="60" t="s">
        <v>642</v>
      </c>
      <c r="G184" s="61" t="s">
        <v>643</v>
      </c>
      <c r="H184" s="61" t="s">
        <v>644</v>
      </c>
      <c r="I184" s="60" t="s">
        <v>101</v>
      </c>
      <c r="J184" s="62" t="s">
        <v>645</v>
      </c>
      <c r="K184" s="63"/>
      <c r="L184" s="63"/>
      <c r="M184" s="64" t="s">
        <v>102</v>
      </c>
      <c r="N184" s="61"/>
      <c r="O184" s="61"/>
      <c r="P184" s="61"/>
      <c r="Q184" s="61"/>
      <c r="R184" s="61"/>
    </row>
    <row r="185" customFormat="false" ht="15.75" hidden="false" customHeight="false" outlineLevel="0" collapsed="false">
      <c r="A185" s="96" t="n">
        <v>3</v>
      </c>
      <c r="B185" s="96" t="s">
        <v>97</v>
      </c>
      <c r="C185" s="96" t="s">
        <v>52</v>
      </c>
      <c r="D185" s="96" t="s">
        <v>605</v>
      </c>
      <c r="E185" s="97" t="s">
        <v>641</v>
      </c>
      <c r="F185" s="97" t="s">
        <v>646</v>
      </c>
      <c r="G185" s="98" t="s">
        <v>647</v>
      </c>
      <c r="H185" s="98" t="s">
        <v>648</v>
      </c>
      <c r="I185" s="97" t="s">
        <v>101</v>
      </c>
      <c r="J185" s="99" t="s">
        <v>649</v>
      </c>
      <c r="K185" s="100"/>
      <c r="L185" s="100"/>
      <c r="M185" s="101" t="s">
        <v>31</v>
      </c>
      <c r="N185" s="102" t="s">
        <v>650</v>
      </c>
      <c r="O185" s="102"/>
      <c r="P185" s="102"/>
      <c r="Q185" s="102"/>
      <c r="R185" s="102"/>
    </row>
    <row r="186" customFormat="false" ht="30" hidden="false" customHeight="true" outlineLevel="0" collapsed="false">
      <c r="A186" s="59" t="n">
        <v>2</v>
      </c>
      <c r="B186" s="59" t="s">
        <v>97</v>
      </c>
      <c r="C186" s="59" t="s">
        <v>52</v>
      </c>
      <c r="D186" s="59" t="s">
        <v>605</v>
      </c>
      <c r="E186" s="60" t="s">
        <v>641</v>
      </c>
      <c r="F186" s="60" t="s">
        <v>651</v>
      </c>
      <c r="G186" s="61" t="s">
        <v>652</v>
      </c>
      <c r="H186" s="61" t="s">
        <v>653</v>
      </c>
      <c r="I186" s="60" t="s">
        <v>101</v>
      </c>
      <c r="J186" s="62" t="s">
        <v>645</v>
      </c>
      <c r="K186" s="63"/>
      <c r="L186" s="63"/>
      <c r="M186" s="64" t="s">
        <v>102</v>
      </c>
      <c r="N186" s="61"/>
      <c r="O186" s="61"/>
      <c r="P186" s="61"/>
      <c r="Q186" s="61"/>
      <c r="R186" s="61"/>
    </row>
    <row r="187" customFormat="false" ht="30" hidden="false" customHeight="true" outlineLevel="0" collapsed="false">
      <c r="A187" s="59" t="n">
        <v>2</v>
      </c>
      <c r="B187" s="59" t="s">
        <v>97</v>
      </c>
      <c r="C187" s="59" t="s">
        <v>52</v>
      </c>
      <c r="D187" s="59" t="s">
        <v>605</v>
      </c>
      <c r="E187" s="60" t="s">
        <v>641</v>
      </c>
      <c r="F187" s="60" t="s">
        <v>654</v>
      </c>
      <c r="G187" s="61" t="s">
        <v>655</v>
      </c>
      <c r="H187" s="61" t="s">
        <v>656</v>
      </c>
      <c r="I187" s="60" t="s">
        <v>101</v>
      </c>
      <c r="J187" s="62" t="s">
        <v>645</v>
      </c>
      <c r="K187" s="63"/>
      <c r="L187" s="63"/>
      <c r="M187" s="64" t="s">
        <v>102</v>
      </c>
      <c r="N187" s="61"/>
      <c r="O187" s="61"/>
      <c r="P187" s="61"/>
      <c r="Q187" s="61"/>
      <c r="R187" s="61"/>
    </row>
    <row r="188" customFormat="false" ht="30" hidden="false" customHeight="true" outlineLevel="0" collapsed="false">
      <c r="A188" s="59" t="n">
        <v>2</v>
      </c>
      <c r="B188" s="59" t="s">
        <v>97</v>
      </c>
      <c r="C188" s="59" t="s">
        <v>52</v>
      </c>
      <c r="D188" s="59" t="s">
        <v>605</v>
      </c>
      <c r="E188" s="60" t="s">
        <v>641</v>
      </c>
      <c r="F188" s="60" t="s">
        <v>657</v>
      </c>
      <c r="G188" s="61" t="s">
        <v>658</v>
      </c>
      <c r="H188" s="61" t="s">
        <v>659</v>
      </c>
      <c r="I188" s="60" t="s">
        <v>101</v>
      </c>
      <c r="J188" s="62" t="s">
        <v>645</v>
      </c>
      <c r="K188" s="63"/>
      <c r="L188" s="63"/>
      <c r="M188" s="64" t="s">
        <v>102</v>
      </c>
      <c r="N188" s="61"/>
      <c r="O188" s="61"/>
      <c r="P188" s="61"/>
      <c r="Q188" s="61"/>
      <c r="R188" s="61"/>
    </row>
    <row r="189" customFormat="false" ht="30" hidden="false" customHeight="true" outlineLevel="0" collapsed="false">
      <c r="A189" s="59" t="n">
        <v>2</v>
      </c>
      <c r="B189" s="59" t="s">
        <v>97</v>
      </c>
      <c r="C189" s="59" t="s">
        <v>52</v>
      </c>
      <c r="D189" s="59" t="s">
        <v>605</v>
      </c>
      <c r="E189" s="60" t="s">
        <v>641</v>
      </c>
      <c r="F189" s="60" t="s">
        <v>660</v>
      </c>
      <c r="G189" s="61" t="s">
        <v>661</v>
      </c>
      <c r="H189" s="61" t="s">
        <v>662</v>
      </c>
      <c r="I189" s="60" t="s">
        <v>101</v>
      </c>
      <c r="J189" s="62" t="s">
        <v>645</v>
      </c>
      <c r="K189" s="63"/>
      <c r="L189" s="63"/>
      <c r="M189" s="64" t="s">
        <v>102</v>
      </c>
      <c r="N189" s="61"/>
      <c r="O189" s="61"/>
      <c r="P189" s="61"/>
      <c r="Q189" s="61"/>
      <c r="R189" s="61"/>
    </row>
    <row r="190" customFormat="false" ht="30" hidden="false" customHeight="true" outlineLevel="0" collapsed="false">
      <c r="A190" s="59" t="n">
        <v>2</v>
      </c>
      <c r="B190" s="59" t="s">
        <v>97</v>
      </c>
      <c r="C190" s="59" t="s">
        <v>52</v>
      </c>
      <c r="D190" s="59" t="s">
        <v>605</v>
      </c>
      <c r="E190" s="60" t="s">
        <v>641</v>
      </c>
      <c r="F190" s="60" t="s">
        <v>663</v>
      </c>
      <c r="G190" s="61" t="s">
        <v>664</v>
      </c>
      <c r="H190" s="61" t="s">
        <v>665</v>
      </c>
      <c r="I190" s="60" t="s">
        <v>101</v>
      </c>
      <c r="J190" s="62" t="s">
        <v>645</v>
      </c>
      <c r="K190" s="63"/>
      <c r="L190" s="63"/>
      <c r="M190" s="64" t="s">
        <v>102</v>
      </c>
      <c r="N190" s="61"/>
      <c r="O190" s="61"/>
      <c r="P190" s="61"/>
      <c r="Q190" s="61"/>
      <c r="R190" s="61"/>
    </row>
    <row r="191" customFormat="false" ht="30" hidden="false" customHeight="true" outlineLevel="0" collapsed="false">
      <c r="A191" s="59" t="n">
        <v>2</v>
      </c>
      <c r="B191" s="59" t="s">
        <v>97</v>
      </c>
      <c r="C191" s="59" t="s">
        <v>52</v>
      </c>
      <c r="D191" s="59" t="s">
        <v>605</v>
      </c>
      <c r="E191" s="60" t="s">
        <v>641</v>
      </c>
      <c r="F191" s="60" t="s">
        <v>666</v>
      </c>
      <c r="G191" s="61" t="s">
        <v>667</v>
      </c>
      <c r="H191" s="61" t="s">
        <v>668</v>
      </c>
      <c r="I191" s="60" t="s">
        <v>101</v>
      </c>
      <c r="J191" s="62" t="s">
        <v>645</v>
      </c>
      <c r="K191" s="63"/>
      <c r="L191" s="63"/>
      <c r="M191" s="64" t="s">
        <v>102</v>
      </c>
      <c r="N191" s="61"/>
      <c r="O191" s="61"/>
      <c r="P191" s="61"/>
      <c r="Q191" s="61"/>
      <c r="R191" s="61"/>
    </row>
    <row r="192" customFormat="false" ht="30" hidden="false" customHeight="true" outlineLevel="0" collapsed="false">
      <c r="A192" s="59" t="n">
        <v>2</v>
      </c>
      <c r="B192" s="59" t="s">
        <v>97</v>
      </c>
      <c r="C192" s="59" t="s">
        <v>52</v>
      </c>
      <c r="D192" s="59" t="s">
        <v>605</v>
      </c>
      <c r="E192" s="60" t="s">
        <v>641</v>
      </c>
      <c r="F192" s="60" t="s">
        <v>669</v>
      </c>
      <c r="G192" s="61" t="s">
        <v>670</v>
      </c>
      <c r="H192" s="61" t="s">
        <v>671</v>
      </c>
      <c r="I192" s="60" t="s">
        <v>101</v>
      </c>
      <c r="J192" s="62" t="s">
        <v>645</v>
      </c>
      <c r="K192" s="63"/>
      <c r="L192" s="63"/>
      <c r="M192" s="64" t="s">
        <v>102</v>
      </c>
      <c r="N192" s="61"/>
      <c r="O192" s="61"/>
      <c r="P192" s="61"/>
      <c r="Q192" s="61"/>
      <c r="R192" s="61"/>
    </row>
    <row r="193" customFormat="false" ht="30" hidden="false" customHeight="true" outlineLevel="0" collapsed="false">
      <c r="A193" s="59" t="n">
        <v>2</v>
      </c>
      <c r="B193" s="59" t="s">
        <v>97</v>
      </c>
      <c r="C193" s="59" t="s">
        <v>52</v>
      </c>
      <c r="D193" s="59" t="s">
        <v>605</v>
      </c>
      <c r="E193" s="60" t="s">
        <v>672</v>
      </c>
      <c r="F193" s="60" t="s">
        <v>673</v>
      </c>
      <c r="G193" s="61" t="s">
        <v>674</v>
      </c>
      <c r="H193" s="61" t="s">
        <v>675</v>
      </c>
      <c r="I193" s="60" t="s">
        <v>101</v>
      </c>
      <c r="J193" s="62" t="s">
        <v>645</v>
      </c>
      <c r="K193" s="63"/>
      <c r="L193" s="63"/>
      <c r="M193" s="64" t="s">
        <v>102</v>
      </c>
      <c r="N193" s="61"/>
      <c r="O193" s="61"/>
      <c r="P193" s="61"/>
      <c r="Q193" s="61"/>
      <c r="R193" s="61"/>
    </row>
    <row r="194" customFormat="false" ht="15.75" hidden="false" customHeight="false" outlineLevel="0" collapsed="false">
      <c r="A194" s="96" t="n">
        <v>3</v>
      </c>
      <c r="B194" s="96" t="s">
        <v>97</v>
      </c>
      <c r="C194" s="96" t="s">
        <v>52</v>
      </c>
      <c r="D194" s="96" t="s">
        <v>605</v>
      </c>
      <c r="E194" s="97" t="s">
        <v>641</v>
      </c>
      <c r="F194" s="97" t="s">
        <v>676</v>
      </c>
      <c r="G194" s="98" t="s">
        <v>647</v>
      </c>
      <c r="H194" s="98" t="s">
        <v>648</v>
      </c>
      <c r="I194" s="97" t="s">
        <v>101</v>
      </c>
      <c r="J194" s="99" t="s">
        <v>649</v>
      </c>
      <c r="K194" s="100"/>
      <c r="L194" s="100" t="n">
        <v>46223</v>
      </c>
      <c r="M194" s="101" t="s">
        <v>31</v>
      </c>
      <c r="N194" s="102" t="s">
        <v>650</v>
      </c>
      <c r="O194" s="102"/>
      <c r="P194" s="102"/>
      <c r="Q194" s="102"/>
      <c r="R194" s="102"/>
    </row>
    <row r="195" customFormat="false" ht="15.75" hidden="false" customHeight="false" outlineLevel="0" collapsed="false">
      <c r="A195" s="59" t="n">
        <v>2</v>
      </c>
      <c r="B195" s="59" t="s">
        <v>97</v>
      </c>
      <c r="C195" s="59" t="s">
        <v>52</v>
      </c>
      <c r="D195" s="59" t="s">
        <v>605</v>
      </c>
      <c r="E195" s="60" t="s">
        <v>672</v>
      </c>
      <c r="F195" s="60" t="s">
        <v>677</v>
      </c>
      <c r="G195" s="61" t="s">
        <v>678</v>
      </c>
      <c r="H195" s="61" t="s">
        <v>679</v>
      </c>
      <c r="I195" s="60" t="s">
        <v>101</v>
      </c>
      <c r="J195" s="62" t="s">
        <v>645</v>
      </c>
      <c r="K195" s="63"/>
      <c r="L195" s="63"/>
      <c r="M195" s="64" t="s">
        <v>102</v>
      </c>
      <c r="N195" s="61"/>
      <c r="O195" s="61"/>
      <c r="P195" s="61"/>
      <c r="Q195" s="61"/>
      <c r="R195" s="61"/>
    </row>
    <row r="196" customFormat="false" ht="30" hidden="false" customHeight="true" outlineLevel="0" collapsed="false">
      <c r="A196" s="59" t="n">
        <v>2</v>
      </c>
      <c r="B196" s="59" t="s">
        <v>97</v>
      </c>
      <c r="C196" s="59" t="s">
        <v>52</v>
      </c>
      <c r="D196" s="59" t="s">
        <v>605</v>
      </c>
      <c r="E196" s="60" t="s">
        <v>672</v>
      </c>
      <c r="F196" s="60" t="s">
        <v>680</v>
      </c>
      <c r="G196" s="61" t="s">
        <v>681</v>
      </c>
      <c r="H196" s="61" t="s">
        <v>682</v>
      </c>
      <c r="I196" s="60" t="s">
        <v>101</v>
      </c>
      <c r="J196" s="62" t="s">
        <v>645</v>
      </c>
      <c r="K196" s="63"/>
      <c r="L196" s="63"/>
      <c r="M196" s="64" t="s">
        <v>102</v>
      </c>
      <c r="N196" s="61"/>
      <c r="O196" s="61"/>
      <c r="P196" s="61"/>
      <c r="Q196" s="61"/>
      <c r="R196" s="61"/>
    </row>
    <row r="197" customFormat="false" ht="30" hidden="false" customHeight="true" outlineLevel="0" collapsed="false">
      <c r="A197" s="59" t="n">
        <v>2</v>
      </c>
      <c r="B197" s="59" t="s">
        <v>97</v>
      </c>
      <c r="C197" s="59" t="s">
        <v>52</v>
      </c>
      <c r="D197" s="59" t="s">
        <v>605</v>
      </c>
      <c r="E197" s="60" t="s">
        <v>672</v>
      </c>
      <c r="F197" s="60" t="s">
        <v>683</v>
      </c>
      <c r="G197" s="61" t="s">
        <v>684</v>
      </c>
      <c r="H197" s="61" t="s">
        <v>685</v>
      </c>
      <c r="I197" s="60" t="s">
        <v>101</v>
      </c>
      <c r="J197" s="62" t="s">
        <v>645</v>
      </c>
      <c r="K197" s="63"/>
      <c r="L197" s="63"/>
      <c r="M197" s="64" t="s">
        <v>102</v>
      </c>
      <c r="N197" s="61"/>
      <c r="O197" s="61"/>
      <c r="P197" s="61"/>
      <c r="Q197" s="61"/>
      <c r="R197" s="61"/>
    </row>
    <row r="198" customFormat="false" ht="30" hidden="false" customHeight="true" outlineLevel="0" collapsed="false">
      <c r="A198" s="59" t="n">
        <v>2</v>
      </c>
      <c r="B198" s="59" t="s">
        <v>97</v>
      </c>
      <c r="C198" s="59" t="s">
        <v>52</v>
      </c>
      <c r="D198" s="59" t="s">
        <v>605</v>
      </c>
      <c r="E198" s="60" t="s">
        <v>672</v>
      </c>
      <c r="F198" s="60" t="s">
        <v>686</v>
      </c>
      <c r="G198" s="61" t="s">
        <v>687</v>
      </c>
      <c r="H198" s="61" t="s">
        <v>688</v>
      </c>
      <c r="I198" s="60" t="s">
        <v>101</v>
      </c>
      <c r="J198" s="62" t="s">
        <v>645</v>
      </c>
      <c r="K198" s="63"/>
      <c r="L198" s="63"/>
      <c r="M198" s="64" t="s">
        <v>102</v>
      </c>
      <c r="N198" s="61"/>
      <c r="O198" s="61"/>
      <c r="P198" s="61"/>
      <c r="Q198" s="61"/>
      <c r="R198" s="61"/>
    </row>
    <row r="199" customFormat="false" ht="30" hidden="false" customHeight="true" outlineLevel="0" collapsed="false">
      <c r="A199" s="59" t="n">
        <v>2</v>
      </c>
      <c r="B199" s="59" t="s">
        <v>97</v>
      </c>
      <c r="C199" s="59" t="s">
        <v>52</v>
      </c>
      <c r="D199" s="59" t="s">
        <v>605</v>
      </c>
      <c r="E199" s="60" t="s">
        <v>672</v>
      </c>
      <c r="F199" s="60" t="s">
        <v>689</v>
      </c>
      <c r="G199" s="61" t="s">
        <v>690</v>
      </c>
      <c r="H199" s="61" t="s">
        <v>691</v>
      </c>
      <c r="I199" s="60" t="s">
        <v>101</v>
      </c>
      <c r="J199" s="62" t="s">
        <v>645</v>
      </c>
      <c r="K199" s="63"/>
      <c r="L199" s="63"/>
      <c r="M199" s="64" t="s">
        <v>102</v>
      </c>
      <c r="N199" s="61"/>
      <c r="O199" s="61"/>
      <c r="P199" s="61"/>
      <c r="Q199" s="61"/>
      <c r="R199" s="61"/>
    </row>
    <row r="200" customFormat="false" ht="30" hidden="false" customHeight="true" outlineLevel="0" collapsed="false">
      <c r="A200" s="59" t="n">
        <v>2</v>
      </c>
      <c r="B200" s="59" t="s">
        <v>97</v>
      </c>
      <c r="C200" s="59" t="s">
        <v>52</v>
      </c>
      <c r="D200" s="59" t="s">
        <v>605</v>
      </c>
      <c r="E200" s="60" t="s">
        <v>672</v>
      </c>
      <c r="F200" s="60" t="s">
        <v>692</v>
      </c>
      <c r="G200" s="61" t="s">
        <v>693</v>
      </c>
      <c r="H200" s="61" t="s">
        <v>694</v>
      </c>
      <c r="I200" s="60" t="s">
        <v>101</v>
      </c>
      <c r="J200" s="62" t="s">
        <v>645</v>
      </c>
      <c r="K200" s="63"/>
      <c r="L200" s="63"/>
      <c r="M200" s="64" t="s">
        <v>102</v>
      </c>
      <c r="N200" s="61"/>
      <c r="O200" s="61"/>
      <c r="P200" s="61"/>
      <c r="Q200" s="61"/>
      <c r="R200" s="61"/>
    </row>
    <row r="201" customFormat="false" ht="27.75" hidden="false" customHeight="true" outlineLevel="0" collapsed="false">
      <c r="A201" s="48" t="n">
        <v>1</v>
      </c>
      <c r="B201" s="48" t="s">
        <v>11</v>
      </c>
      <c r="C201" s="48" t="s">
        <v>52</v>
      </c>
      <c r="D201" s="49" t="s">
        <v>695</v>
      </c>
      <c r="E201" s="50"/>
      <c r="F201" s="48" t="s">
        <v>696</v>
      </c>
      <c r="G201" s="51" t="s">
        <v>697</v>
      </c>
      <c r="H201" s="50" t="s">
        <v>698</v>
      </c>
      <c r="I201" s="50" t="s">
        <v>77</v>
      </c>
      <c r="J201" s="48" t="s">
        <v>699</v>
      </c>
      <c r="K201" s="52" t="n">
        <v>46266</v>
      </c>
      <c r="L201" s="52" t="n">
        <v>46357</v>
      </c>
      <c r="M201" s="90" t="s">
        <v>34</v>
      </c>
      <c r="N201" s="50"/>
      <c r="O201" s="50"/>
      <c r="P201" s="50"/>
      <c r="Q201" s="50"/>
      <c r="R201" s="50"/>
    </row>
    <row r="202" customFormat="false" ht="27.75" hidden="false" customHeight="true" outlineLevel="0" collapsed="false">
      <c r="A202" s="48" t="n">
        <v>1</v>
      </c>
      <c r="B202" s="48" t="s">
        <v>11</v>
      </c>
      <c r="C202" s="48" t="s">
        <v>52</v>
      </c>
      <c r="D202" s="49" t="s">
        <v>695</v>
      </c>
      <c r="E202" s="50"/>
      <c r="F202" s="48" t="s">
        <v>700</v>
      </c>
      <c r="G202" s="51" t="s">
        <v>701</v>
      </c>
      <c r="H202" s="50"/>
      <c r="I202" s="50" t="s">
        <v>77</v>
      </c>
      <c r="J202" s="48" t="s">
        <v>699</v>
      </c>
      <c r="K202" s="52" t="n">
        <v>46174</v>
      </c>
      <c r="L202" s="52" t="n">
        <v>46266</v>
      </c>
      <c r="M202" s="54" t="s">
        <v>34</v>
      </c>
      <c r="N202" s="50" t="s">
        <v>702</v>
      </c>
      <c r="O202" s="50"/>
      <c r="P202" s="50"/>
      <c r="Q202" s="50"/>
      <c r="R202" s="50"/>
    </row>
    <row r="203" customFormat="false" ht="27.75" hidden="false" customHeight="true" outlineLevel="0" collapsed="false">
      <c r="A203" s="48" t="n">
        <v>1</v>
      </c>
      <c r="B203" s="48" t="s">
        <v>11</v>
      </c>
      <c r="C203" s="48" t="s">
        <v>52</v>
      </c>
      <c r="D203" s="49" t="s">
        <v>695</v>
      </c>
      <c r="E203" s="50"/>
      <c r="F203" s="48" t="s">
        <v>703</v>
      </c>
      <c r="G203" s="51" t="s">
        <v>704</v>
      </c>
      <c r="H203" s="50"/>
      <c r="I203" s="50" t="s">
        <v>77</v>
      </c>
      <c r="J203" s="48" t="s">
        <v>699</v>
      </c>
      <c r="K203" s="52" t="n">
        <v>46174</v>
      </c>
      <c r="L203" s="52" t="n">
        <v>46266</v>
      </c>
      <c r="M203" s="54" t="s">
        <v>34</v>
      </c>
      <c r="N203" s="50" t="s">
        <v>705</v>
      </c>
      <c r="O203" s="50"/>
      <c r="P203" s="50"/>
      <c r="Q203" s="50"/>
      <c r="R203" s="50"/>
    </row>
    <row r="204" customFormat="false" ht="27.75" hidden="false" customHeight="true" outlineLevel="0" collapsed="false">
      <c r="A204" s="49" t="n">
        <v>1</v>
      </c>
      <c r="B204" s="49" t="s">
        <v>11</v>
      </c>
      <c r="C204" s="49" t="s">
        <v>52</v>
      </c>
      <c r="D204" s="49" t="s">
        <v>695</v>
      </c>
      <c r="E204" s="50"/>
      <c r="F204" s="48" t="s">
        <v>85</v>
      </c>
      <c r="G204" s="57" t="s">
        <v>706</v>
      </c>
      <c r="H204" s="50" t="s">
        <v>707</v>
      </c>
      <c r="I204" s="50" t="s">
        <v>77</v>
      </c>
      <c r="J204" s="48" t="s">
        <v>699</v>
      </c>
      <c r="K204" s="52" t="n">
        <v>46216</v>
      </c>
      <c r="L204" s="52" t="n">
        <v>46310</v>
      </c>
      <c r="M204" s="58" t="s">
        <v>34</v>
      </c>
      <c r="N204" s="50" t="s">
        <v>708</v>
      </c>
      <c r="O204" s="50"/>
      <c r="P204" s="50"/>
      <c r="Q204" s="50"/>
      <c r="R204" s="50"/>
    </row>
    <row r="205" customFormat="false" ht="42" hidden="false" customHeight="true" outlineLevel="0" collapsed="false">
      <c r="A205" s="49" t="n">
        <v>1</v>
      </c>
      <c r="B205" s="49" t="s">
        <v>11</v>
      </c>
      <c r="C205" s="49" t="s">
        <v>52</v>
      </c>
      <c r="D205" s="49" t="s">
        <v>695</v>
      </c>
      <c r="E205" s="50"/>
      <c r="F205" s="48" t="s">
        <v>85</v>
      </c>
      <c r="G205" s="51" t="s">
        <v>709</v>
      </c>
      <c r="H205" s="50"/>
      <c r="I205" s="50" t="s">
        <v>77</v>
      </c>
      <c r="J205" s="48" t="s">
        <v>699</v>
      </c>
      <c r="K205" s="52" t="n">
        <v>46280</v>
      </c>
      <c r="L205" s="52" t="n">
        <v>46630</v>
      </c>
      <c r="M205" s="54" t="s">
        <v>34</v>
      </c>
      <c r="N205" s="50" t="s">
        <v>710</v>
      </c>
      <c r="O205" s="50"/>
      <c r="P205" s="50"/>
      <c r="Q205" s="50"/>
      <c r="R205" s="50"/>
    </row>
    <row r="206" customFormat="false" ht="27.75" hidden="false" customHeight="true" outlineLevel="0" collapsed="false">
      <c r="A206" s="49" t="n">
        <v>1</v>
      </c>
      <c r="B206" s="49" t="s">
        <v>11</v>
      </c>
      <c r="C206" s="49" t="s">
        <v>52</v>
      </c>
      <c r="D206" s="49" t="s">
        <v>695</v>
      </c>
      <c r="E206" s="50"/>
      <c r="F206" s="48" t="s">
        <v>85</v>
      </c>
      <c r="G206" s="51" t="s">
        <v>711</v>
      </c>
      <c r="H206" s="50"/>
      <c r="I206" s="50" t="s">
        <v>77</v>
      </c>
      <c r="J206" s="48" t="s">
        <v>699</v>
      </c>
      <c r="K206" s="52" t="n">
        <v>46249</v>
      </c>
      <c r="L206" s="52" t="n">
        <v>46280</v>
      </c>
      <c r="M206" s="54" t="s">
        <v>34</v>
      </c>
      <c r="N206" s="50" t="s">
        <v>712</v>
      </c>
      <c r="O206" s="50"/>
      <c r="P206" s="50"/>
      <c r="Q206" s="50"/>
      <c r="R206" s="50"/>
    </row>
    <row r="207" customFormat="false" ht="27.75" hidden="false" customHeight="true" outlineLevel="0" collapsed="false">
      <c r="A207" s="49" t="n">
        <v>1</v>
      </c>
      <c r="B207" s="49" t="s">
        <v>11</v>
      </c>
      <c r="C207" s="49" t="s">
        <v>52</v>
      </c>
      <c r="D207" s="49" t="s">
        <v>695</v>
      </c>
      <c r="E207" s="50"/>
      <c r="F207" s="48" t="s">
        <v>85</v>
      </c>
      <c r="G207" s="51" t="s">
        <v>713</v>
      </c>
      <c r="H207" s="50" t="s">
        <v>714</v>
      </c>
      <c r="I207" s="50" t="s">
        <v>77</v>
      </c>
      <c r="J207" s="48" t="s">
        <v>699</v>
      </c>
      <c r="K207" s="52"/>
      <c r="L207" s="52" t="n">
        <v>46266</v>
      </c>
      <c r="M207" s="54" t="s">
        <v>34</v>
      </c>
      <c r="N207" s="50" t="s">
        <v>715</v>
      </c>
      <c r="O207" s="50"/>
      <c r="P207" s="50"/>
      <c r="Q207" s="50"/>
      <c r="R207" s="50"/>
    </row>
    <row r="208" customFormat="false" ht="27.75" hidden="false" customHeight="true" outlineLevel="0" collapsed="false">
      <c r="A208" s="49" t="n">
        <v>1</v>
      </c>
      <c r="B208" s="49" t="s">
        <v>11</v>
      </c>
      <c r="C208" s="49" t="s">
        <v>52</v>
      </c>
      <c r="D208" s="49" t="s">
        <v>695</v>
      </c>
      <c r="E208" s="50"/>
      <c r="F208" s="48" t="s">
        <v>85</v>
      </c>
      <c r="G208" s="57" t="s">
        <v>716</v>
      </c>
      <c r="H208" s="50" t="s">
        <v>717</v>
      </c>
      <c r="I208" s="50" t="s">
        <v>77</v>
      </c>
      <c r="J208" s="48" t="s">
        <v>699</v>
      </c>
      <c r="K208" s="52"/>
      <c r="L208" s="52" t="n">
        <v>46371</v>
      </c>
      <c r="M208" s="58" t="s">
        <v>39</v>
      </c>
      <c r="N208" s="50" t="s">
        <v>92</v>
      </c>
      <c r="O208" s="50"/>
      <c r="P208" s="50"/>
      <c r="Q208" s="50"/>
      <c r="R208" s="50"/>
    </row>
    <row r="209" customFormat="false" ht="27.75" hidden="false" customHeight="true" outlineLevel="0" collapsed="false">
      <c r="A209" s="49" t="n">
        <v>1</v>
      </c>
      <c r="B209" s="49" t="s">
        <v>11</v>
      </c>
      <c r="C209" s="49" t="s">
        <v>52</v>
      </c>
      <c r="D209" s="49" t="s">
        <v>695</v>
      </c>
      <c r="E209" s="50"/>
      <c r="F209" s="48" t="s">
        <v>85</v>
      </c>
      <c r="G209" s="57" t="s">
        <v>718</v>
      </c>
      <c r="H209" s="50" t="s">
        <v>719</v>
      </c>
      <c r="I209" s="50" t="s">
        <v>77</v>
      </c>
      <c r="J209" s="48" t="s">
        <v>699</v>
      </c>
      <c r="K209" s="52" t="n">
        <v>46266</v>
      </c>
      <c r="L209" s="52" t="n">
        <v>46357</v>
      </c>
      <c r="M209" s="103" t="s">
        <v>39</v>
      </c>
      <c r="N209" s="50" t="s">
        <v>720</v>
      </c>
      <c r="O209" s="50"/>
      <c r="P209" s="50"/>
      <c r="Q209" s="50"/>
      <c r="R209" s="50"/>
    </row>
    <row r="210" customFormat="false" ht="27.75" hidden="false" customHeight="true" outlineLevel="0" collapsed="false">
      <c r="A210" s="49" t="n">
        <v>1</v>
      </c>
      <c r="B210" s="49" t="s">
        <v>11</v>
      </c>
      <c r="C210" s="49" t="s">
        <v>52</v>
      </c>
      <c r="D210" s="49" t="s">
        <v>695</v>
      </c>
      <c r="E210" s="50"/>
      <c r="F210" s="48" t="s">
        <v>85</v>
      </c>
      <c r="G210" s="57" t="s">
        <v>721</v>
      </c>
      <c r="H210" s="50" t="s">
        <v>722</v>
      </c>
      <c r="I210" s="50" t="s">
        <v>77</v>
      </c>
      <c r="J210" s="48" t="s">
        <v>699</v>
      </c>
      <c r="K210" s="52"/>
      <c r="L210" s="52" t="n">
        <v>46388</v>
      </c>
      <c r="M210" s="58" t="s">
        <v>39</v>
      </c>
      <c r="N210" s="50" t="s">
        <v>92</v>
      </c>
      <c r="O210" s="50"/>
      <c r="P210" s="50"/>
      <c r="Q210" s="50"/>
      <c r="R210" s="50"/>
    </row>
    <row r="211" customFormat="false" ht="27.75" hidden="false" customHeight="true" outlineLevel="0" collapsed="false">
      <c r="A211" s="49" t="n">
        <v>1</v>
      </c>
      <c r="B211" s="49" t="s">
        <v>11</v>
      </c>
      <c r="C211" s="49" t="s">
        <v>52</v>
      </c>
      <c r="D211" s="49" t="s">
        <v>695</v>
      </c>
      <c r="E211" s="50"/>
      <c r="F211" s="48" t="s">
        <v>85</v>
      </c>
      <c r="G211" s="57" t="s">
        <v>723</v>
      </c>
      <c r="H211" s="50" t="s">
        <v>724</v>
      </c>
      <c r="I211" s="50" t="s">
        <v>77</v>
      </c>
      <c r="J211" s="48" t="s">
        <v>699</v>
      </c>
      <c r="K211" s="52"/>
      <c r="L211" s="52" t="n">
        <v>46447</v>
      </c>
      <c r="M211" s="58" t="s">
        <v>39</v>
      </c>
      <c r="N211" s="50" t="s">
        <v>725</v>
      </c>
      <c r="O211" s="50"/>
      <c r="P211" s="50"/>
      <c r="Q211" s="50"/>
      <c r="R211" s="50"/>
    </row>
    <row r="212" customFormat="false" ht="30" hidden="false" customHeight="true" outlineLevel="0" collapsed="false">
      <c r="A212" s="59" t="n">
        <v>2</v>
      </c>
      <c r="B212" s="59" t="s">
        <v>97</v>
      </c>
      <c r="C212" s="59" t="s">
        <v>52</v>
      </c>
      <c r="D212" s="59" t="s">
        <v>726</v>
      </c>
      <c r="E212" s="60"/>
      <c r="F212" s="60" t="s">
        <v>727</v>
      </c>
      <c r="G212" s="61" t="s">
        <v>728</v>
      </c>
      <c r="H212" s="61" t="s">
        <v>729</v>
      </c>
      <c r="I212" s="60" t="s">
        <v>101</v>
      </c>
      <c r="J212" s="62" t="s">
        <v>699</v>
      </c>
      <c r="K212" s="63" t="n">
        <v>46280</v>
      </c>
      <c r="L212" s="63" t="n">
        <v>46402</v>
      </c>
      <c r="M212" s="54" t="s">
        <v>34</v>
      </c>
      <c r="N212" s="61" t="s">
        <v>730</v>
      </c>
      <c r="O212" s="61"/>
      <c r="P212" s="61"/>
      <c r="Q212" s="61"/>
      <c r="R212" s="61"/>
    </row>
    <row r="213" customFormat="false" ht="15.75" hidden="false" customHeight="false" outlineLevel="0" collapsed="false">
      <c r="A213" s="96" t="n">
        <v>3</v>
      </c>
      <c r="B213" s="96" t="s">
        <v>97</v>
      </c>
      <c r="C213" s="96" t="s">
        <v>52</v>
      </c>
      <c r="D213" s="96" t="s">
        <v>726</v>
      </c>
      <c r="E213" s="97"/>
      <c r="F213" s="97" t="s">
        <v>731</v>
      </c>
      <c r="G213" s="98" t="s">
        <v>713</v>
      </c>
      <c r="H213" s="98" t="s">
        <v>648</v>
      </c>
      <c r="I213" s="97" t="s">
        <v>101</v>
      </c>
      <c r="J213" s="99" t="s">
        <v>699</v>
      </c>
      <c r="K213" s="100" t="n">
        <v>46204</v>
      </c>
      <c r="L213" s="100" t="n">
        <v>46387</v>
      </c>
      <c r="M213" s="54" t="s">
        <v>34</v>
      </c>
      <c r="N213" s="102" t="s">
        <v>732</v>
      </c>
      <c r="O213" s="102"/>
      <c r="P213" s="102"/>
      <c r="Q213" s="102"/>
      <c r="R213" s="102"/>
    </row>
    <row r="214" customFormat="false" ht="30" hidden="false" customHeight="true" outlineLevel="0" collapsed="false">
      <c r="A214" s="59" t="n">
        <v>2</v>
      </c>
      <c r="B214" s="59" t="s">
        <v>97</v>
      </c>
      <c r="C214" s="59" t="s">
        <v>52</v>
      </c>
      <c r="D214" s="59" t="s">
        <v>726</v>
      </c>
      <c r="E214" s="60"/>
      <c r="F214" s="60" t="s">
        <v>733</v>
      </c>
      <c r="G214" s="61" t="s">
        <v>734</v>
      </c>
      <c r="H214" s="61" t="s">
        <v>735</v>
      </c>
      <c r="I214" s="60" t="s">
        <v>101</v>
      </c>
      <c r="J214" s="62" t="s">
        <v>699</v>
      </c>
      <c r="K214" s="63" t="n">
        <v>46204</v>
      </c>
      <c r="L214" s="63" t="n">
        <v>46280</v>
      </c>
      <c r="M214" s="54" t="s">
        <v>34</v>
      </c>
      <c r="N214" s="61" t="s">
        <v>736</v>
      </c>
      <c r="O214" s="61"/>
      <c r="P214" s="61"/>
      <c r="Q214" s="61"/>
      <c r="R214" s="61"/>
    </row>
    <row r="215" customFormat="false" ht="30" hidden="false" customHeight="true" outlineLevel="0" collapsed="false">
      <c r="A215" s="59" t="n">
        <v>2</v>
      </c>
      <c r="B215" s="59" t="s">
        <v>97</v>
      </c>
      <c r="C215" s="59" t="s">
        <v>52</v>
      </c>
      <c r="D215" s="59" t="s">
        <v>726</v>
      </c>
      <c r="E215" s="60"/>
      <c r="F215" s="60" t="s">
        <v>737</v>
      </c>
      <c r="G215" s="61" t="s">
        <v>738</v>
      </c>
      <c r="H215" s="61" t="s">
        <v>739</v>
      </c>
      <c r="I215" s="60" t="s">
        <v>101</v>
      </c>
      <c r="J215" s="62" t="s">
        <v>699</v>
      </c>
      <c r="K215" s="63" t="n">
        <v>46204</v>
      </c>
      <c r="L215" s="63" t="n">
        <v>46521</v>
      </c>
      <c r="M215" s="54" t="s">
        <v>34</v>
      </c>
      <c r="N215" s="61" t="s">
        <v>740</v>
      </c>
      <c r="O215" s="61"/>
      <c r="P215" s="61"/>
      <c r="Q215" s="61"/>
      <c r="R215" s="61"/>
    </row>
    <row r="216" customFormat="false" ht="45" hidden="false" customHeight="true" outlineLevel="0" collapsed="false">
      <c r="A216" s="59" t="n">
        <v>2</v>
      </c>
      <c r="B216" s="59" t="s">
        <v>97</v>
      </c>
      <c r="C216" s="59" t="s">
        <v>52</v>
      </c>
      <c r="D216" s="59" t="s">
        <v>726</v>
      </c>
      <c r="E216" s="60"/>
      <c r="F216" s="60" t="s">
        <v>741</v>
      </c>
      <c r="G216" s="61" t="s">
        <v>742</v>
      </c>
      <c r="H216" s="61" t="s">
        <v>743</v>
      </c>
      <c r="I216" s="60" t="s">
        <v>101</v>
      </c>
      <c r="J216" s="62" t="s">
        <v>699</v>
      </c>
      <c r="K216" s="63" t="n">
        <v>46204</v>
      </c>
      <c r="L216" s="63" t="n">
        <v>46327</v>
      </c>
      <c r="M216" s="104" t="s">
        <v>39</v>
      </c>
      <c r="N216" s="61" t="s">
        <v>744</v>
      </c>
      <c r="O216" s="61"/>
      <c r="P216" s="61"/>
      <c r="Q216" s="61"/>
      <c r="R216" s="61"/>
    </row>
    <row r="217" customFormat="false" ht="45" hidden="false" customHeight="true" outlineLevel="0" collapsed="false">
      <c r="A217" s="59" t="n">
        <v>2</v>
      </c>
      <c r="B217" s="59" t="s">
        <v>97</v>
      </c>
      <c r="C217" s="59" t="s">
        <v>52</v>
      </c>
      <c r="D217" s="59" t="s">
        <v>726</v>
      </c>
      <c r="E217" s="60"/>
      <c r="F217" s="60" t="s">
        <v>745</v>
      </c>
      <c r="G217" s="61" t="s">
        <v>746</v>
      </c>
      <c r="H217" s="61" t="s">
        <v>747</v>
      </c>
      <c r="I217" s="60" t="s">
        <v>101</v>
      </c>
      <c r="J217" s="62" t="s">
        <v>699</v>
      </c>
      <c r="K217" s="63" t="n">
        <v>46204</v>
      </c>
      <c r="L217" s="63" t="n">
        <v>46388</v>
      </c>
      <c r="M217" s="54" t="s">
        <v>34</v>
      </c>
      <c r="N217" s="61"/>
      <c r="O217" s="61"/>
      <c r="P217" s="61"/>
      <c r="Q217" s="61"/>
      <c r="R217" s="61"/>
    </row>
    <row r="218" customFormat="false" ht="45" hidden="false" customHeight="true" outlineLevel="0" collapsed="false">
      <c r="A218" s="96"/>
      <c r="B218" s="96" t="s">
        <v>97</v>
      </c>
      <c r="C218" s="96" t="s">
        <v>52</v>
      </c>
      <c r="D218" s="96" t="s">
        <v>726</v>
      </c>
      <c r="E218" s="97"/>
      <c r="F218" s="97" t="s">
        <v>748</v>
      </c>
      <c r="G218" s="98" t="s">
        <v>749</v>
      </c>
      <c r="H218" s="98" t="s">
        <v>750</v>
      </c>
      <c r="I218" s="97" t="s">
        <v>101</v>
      </c>
      <c r="J218" s="99" t="s">
        <v>699</v>
      </c>
      <c r="K218" s="100" t="n">
        <v>46025</v>
      </c>
      <c r="L218" s="100" t="n">
        <v>46265</v>
      </c>
      <c r="M218" s="54" t="s">
        <v>34</v>
      </c>
      <c r="N218" s="102"/>
      <c r="O218" s="102"/>
      <c r="P218" s="102"/>
      <c r="Q218" s="102"/>
      <c r="R218" s="102"/>
    </row>
    <row r="219" customFormat="false" ht="30" hidden="false" customHeight="true" outlineLevel="0" collapsed="false">
      <c r="A219" s="59" t="n">
        <v>2</v>
      </c>
      <c r="B219" s="59" t="s">
        <v>97</v>
      </c>
      <c r="C219" s="59" t="s">
        <v>52</v>
      </c>
      <c r="D219" s="59" t="s">
        <v>726</v>
      </c>
      <c r="E219" s="60"/>
      <c r="F219" s="60" t="s">
        <v>751</v>
      </c>
      <c r="G219" s="61" t="s">
        <v>752</v>
      </c>
      <c r="H219" s="61" t="s">
        <v>753</v>
      </c>
      <c r="I219" s="60" t="s">
        <v>101</v>
      </c>
      <c r="J219" s="62" t="s">
        <v>699</v>
      </c>
      <c r="K219" s="63" t="n">
        <v>46204</v>
      </c>
      <c r="L219" s="63" t="n">
        <v>46388</v>
      </c>
      <c r="M219" s="54" t="s">
        <v>754</v>
      </c>
      <c r="N219" s="61" t="s">
        <v>755</v>
      </c>
      <c r="O219" s="61"/>
      <c r="P219" s="61"/>
      <c r="Q219" s="61"/>
      <c r="R219" s="61"/>
    </row>
    <row r="220" customFormat="false" ht="30" hidden="false" customHeight="true" outlineLevel="0" collapsed="false">
      <c r="A220" s="59" t="n">
        <v>2</v>
      </c>
      <c r="B220" s="59" t="s">
        <v>97</v>
      </c>
      <c r="C220" s="59" t="s">
        <v>52</v>
      </c>
      <c r="D220" s="59" t="s">
        <v>726</v>
      </c>
      <c r="E220" s="60"/>
      <c r="F220" s="60" t="s">
        <v>756</v>
      </c>
      <c r="G220" s="61" t="s">
        <v>757</v>
      </c>
      <c r="H220" s="61" t="s">
        <v>758</v>
      </c>
      <c r="I220" s="60" t="s">
        <v>101</v>
      </c>
      <c r="J220" s="62" t="s">
        <v>699</v>
      </c>
      <c r="K220" s="63" t="n">
        <v>46204</v>
      </c>
      <c r="L220" s="63" t="n">
        <v>46521</v>
      </c>
      <c r="M220" s="54" t="s">
        <v>34</v>
      </c>
      <c r="N220" s="61"/>
      <c r="O220" s="61"/>
      <c r="P220" s="61"/>
      <c r="Q220" s="61"/>
      <c r="R220" s="61"/>
    </row>
    <row r="221" customFormat="false" ht="30" hidden="false" customHeight="true" outlineLevel="0" collapsed="false">
      <c r="A221" s="59" t="n">
        <v>2</v>
      </c>
      <c r="B221" s="59" t="s">
        <v>97</v>
      </c>
      <c r="C221" s="59" t="s">
        <v>52</v>
      </c>
      <c r="D221" s="59" t="s">
        <v>726</v>
      </c>
      <c r="E221" s="60"/>
      <c r="F221" s="60" t="s">
        <v>759</v>
      </c>
      <c r="G221" s="61" t="s">
        <v>760</v>
      </c>
      <c r="H221" s="61" t="s">
        <v>761</v>
      </c>
      <c r="I221" s="60" t="s">
        <v>101</v>
      </c>
      <c r="J221" s="62" t="s">
        <v>699</v>
      </c>
      <c r="K221" s="63" t="n">
        <v>46204</v>
      </c>
      <c r="L221" s="63" t="n">
        <v>46491</v>
      </c>
      <c r="M221" s="54" t="s">
        <v>34</v>
      </c>
      <c r="N221" s="61" t="s">
        <v>762</v>
      </c>
      <c r="O221" s="61"/>
      <c r="P221" s="61"/>
      <c r="Q221" s="61"/>
      <c r="R221" s="61"/>
    </row>
    <row r="222" customFormat="false" ht="30" hidden="false" customHeight="true" outlineLevel="0" collapsed="false">
      <c r="A222" s="59"/>
      <c r="B222" s="59" t="s">
        <v>97</v>
      </c>
      <c r="C222" s="59" t="s">
        <v>52</v>
      </c>
      <c r="D222" s="59" t="s">
        <v>726</v>
      </c>
      <c r="E222" s="60"/>
      <c r="F222" s="60" t="s">
        <v>763</v>
      </c>
      <c r="G222" s="61" t="s">
        <v>764</v>
      </c>
      <c r="H222" s="61"/>
      <c r="I222" s="60" t="s">
        <v>101</v>
      </c>
      <c r="J222" s="62" t="s">
        <v>699</v>
      </c>
      <c r="K222" s="63" t="n">
        <v>46204</v>
      </c>
      <c r="L222" s="63" t="n">
        <v>46327</v>
      </c>
      <c r="M222" s="54" t="s">
        <v>34</v>
      </c>
      <c r="N222" s="61" t="s">
        <v>765</v>
      </c>
      <c r="O222" s="61"/>
      <c r="P222" s="61"/>
      <c r="Q222" s="61"/>
      <c r="R222" s="61"/>
    </row>
    <row r="223" customFormat="false" ht="45" hidden="false" customHeight="true" outlineLevel="0" collapsed="false">
      <c r="A223" s="59" t="n">
        <v>2</v>
      </c>
      <c r="B223" s="59" t="s">
        <v>97</v>
      </c>
      <c r="C223" s="59" t="s">
        <v>569</v>
      </c>
      <c r="D223" s="59" t="s">
        <v>766</v>
      </c>
      <c r="E223" s="60"/>
      <c r="F223" s="60"/>
      <c r="G223" s="61" t="s">
        <v>767</v>
      </c>
      <c r="H223" s="61" t="s">
        <v>768</v>
      </c>
      <c r="I223" s="60" t="s">
        <v>101</v>
      </c>
      <c r="J223" s="62" t="s">
        <v>573</v>
      </c>
      <c r="K223" s="63"/>
      <c r="L223" s="63"/>
      <c r="M223" s="64" t="s">
        <v>31</v>
      </c>
      <c r="N223" s="61"/>
      <c r="O223" s="61"/>
      <c r="P223" s="61"/>
      <c r="Q223" s="61" t="s">
        <v>769</v>
      </c>
      <c r="R223" s="61"/>
    </row>
    <row r="224" customFormat="false" ht="15.75" hidden="false" customHeight="false" outlineLevel="0" collapsed="false">
      <c r="A224" s="48" t="n">
        <v>1</v>
      </c>
      <c r="B224" s="48" t="s">
        <v>11</v>
      </c>
      <c r="C224" s="48"/>
      <c r="D224" s="49" t="s">
        <v>770</v>
      </c>
      <c r="E224" s="89" t="s">
        <v>602</v>
      </c>
      <c r="F224" s="48" t="s">
        <v>771</v>
      </c>
      <c r="G224" s="51" t="s">
        <v>772</v>
      </c>
      <c r="H224" s="50"/>
      <c r="I224" s="50" t="s">
        <v>77</v>
      </c>
      <c r="J224" s="48"/>
      <c r="K224" s="52"/>
      <c r="L224" s="52" t="n">
        <v>46402</v>
      </c>
      <c r="M224" s="88" t="s">
        <v>41</v>
      </c>
      <c r="N224" s="50"/>
      <c r="O224" s="50"/>
      <c r="P224" s="50"/>
      <c r="Q224" s="50"/>
      <c r="R224" s="50"/>
    </row>
    <row r="225" customFormat="false" ht="15.75" hidden="false" customHeight="false" outlineLevel="0" collapsed="false">
      <c r="A225" s="48" t="n">
        <v>1</v>
      </c>
      <c r="B225" s="48" t="s">
        <v>11</v>
      </c>
      <c r="C225" s="48"/>
      <c r="D225" s="49" t="s">
        <v>770</v>
      </c>
      <c r="E225" s="89" t="s">
        <v>602</v>
      </c>
      <c r="F225" s="48" t="s">
        <v>773</v>
      </c>
      <c r="G225" s="51" t="s">
        <v>774</v>
      </c>
      <c r="H225" s="50"/>
      <c r="I225" s="50" t="s">
        <v>77</v>
      </c>
      <c r="J225" s="48"/>
      <c r="K225" s="52"/>
      <c r="L225" s="52" t="n">
        <v>46357</v>
      </c>
      <c r="M225" s="54" t="s">
        <v>34</v>
      </c>
      <c r="N225" s="50"/>
      <c r="O225" s="50"/>
      <c r="P225" s="50"/>
      <c r="Q225" s="50"/>
      <c r="R225" s="50"/>
    </row>
    <row r="226" customFormat="false" ht="15.75" hidden="false" customHeight="false" outlineLevel="0" collapsed="false">
      <c r="A226" s="48" t="n">
        <v>1</v>
      </c>
      <c r="B226" s="48" t="s">
        <v>11</v>
      </c>
      <c r="C226" s="48"/>
      <c r="D226" s="49" t="s">
        <v>775</v>
      </c>
      <c r="E226" s="89" t="s">
        <v>602</v>
      </c>
      <c r="F226" s="48" t="s">
        <v>776</v>
      </c>
      <c r="G226" s="51" t="s">
        <v>777</v>
      </c>
      <c r="H226" s="50"/>
      <c r="I226" s="50" t="s">
        <v>77</v>
      </c>
      <c r="J226" s="48"/>
      <c r="K226" s="52"/>
      <c r="L226" s="52" t="n">
        <v>46461</v>
      </c>
      <c r="M226" s="58" t="s">
        <v>39</v>
      </c>
      <c r="N226" s="50"/>
      <c r="O226" s="50"/>
      <c r="P226" s="50"/>
      <c r="Q226" s="50"/>
      <c r="R226" s="50"/>
    </row>
    <row r="227" customFormat="false" ht="15.75" hidden="false" customHeight="false" outlineLevel="0" collapsed="false">
      <c r="A227" s="48" t="n">
        <v>1</v>
      </c>
      <c r="B227" s="48" t="s">
        <v>11</v>
      </c>
      <c r="C227" s="48"/>
      <c r="D227" s="49" t="s">
        <v>775</v>
      </c>
      <c r="E227" s="89" t="s">
        <v>602</v>
      </c>
      <c r="F227" s="48" t="s">
        <v>778</v>
      </c>
      <c r="G227" s="51" t="s">
        <v>779</v>
      </c>
      <c r="H227" s="50"/>
      <c r="I227" s="50" t="s">
        <v>77</v>
      </c>
      <c r="J227" s="48"/>
      <c r="K227" s="52"/>
      <c r="L227" s="52" t="n">
        <v>46487</v>
      </c>
      <c r="M227" s="58" t="s">
        <v>39</v>
      </c>
      <c r="N227" s="50"/>
      <c r="O227" s="50"/>
      <c r="P227" s="50"/>
      <c r="Q227" s="50"/>
      <c r="R227" s="50"/>
    </row>
    <row r="228" customFormat="false" ht="15.75" hidden="false" customHeight="false" outlineLevel="0" collapsed="false">
      <c r="A228" s="48" t="n">
        <v>1</v>
      </c>
      <c r="B228" s="48" t="s">
        <v>11</v>
      </c>
      <c r="C228" s="48"/>
      <c r="D228" s="49" t="s">
        <v>775</v>
      </c>
      <c r="E228" s="89" t="s">
        <v>602</v>
      </c>
      <c r="F228" s="48" t="s">
        <v>780</v>
      </c>
      <c r="G228" s="51" t="s">
        <v>781</v>
      </c>
      <c r="H228" s="50"/>
      <c r="I228" s="50" t="s">
        <v>77</v>
      </c>
      <c r="J228" s="48"/>
      <c r="K228" s="52"/>
      <c r="L228" s="52" t="n">
        <v>46492</v>
      </c>
      <c r="M228" s="58" t="s">
        <v>39</v>
      </c>
      <c r="N228" s="50"/>
      <c r="O228" s="50"/>
      <c r="P228" s="50"/>
      <c r="Q228" s="50"/>
      <c r="R228" s="50"/>
    </row>
    <row r="229" customFormat="false" ht="15.75" hidden="false" customHeight="false" outlineLevel="0" collapsed="false">
      <c r="A229" s="48" t="n">
        <v>1</v>
      </c>
      <c r="B229" s="48" t="s">
        <v>11</v>
      </c>
      <c r="C229" s="48"/>
      <c r="D229" s="49" t="s">
        <v>775</v>
      </c>
      <c r="E229" s="89" t="s">
        <v>602</v>
      </c>
      <c r="F229" s="48" t="s">
        <v>776</v>
      </c>
      <c r="G229" s="51" t="s">
        <v>777</v>
      </c>
      <c r="H229" s="50"/>
      <c r="I229" s="50" t="s">
        <v>77</v>
      </c>
      <c r="J229" s="48"/>
      <c r="K229" s="52"/>
      <c r="L229" s="52"/>
      <c r="M229" s="88" t="s">
        <v>41</v>
      </c>
      <c r="N229" s="50"/>
      <c r="O229" s="50"/>
      <c r="P229" s="50"/>
      <c r="Q229" s="50"/>
      <c r="R229" s="50"/>
    </row>
    <row r="230" customFormat="false" ht="15.75" hidden="false" customHeight="false" outlineLevel="0" collapsed="false">
      <c r="A230" s="48" t="n">
        <v>1</v>
      </c>
      <c r="B230" s="48" t="s">
        <v>11</v>
      </c>
      <c r="C230" s="48"/>
      <c r="D230" s="49" t="s">
        <v>775</v>
      </c>
      <c r="E230" s="89" t="s">
        <v>602</v>
      </c>
      <c r="F230" s="48" t="s">
        <v>778</v>
      </c>
      <c r="G230" s="51" t="s">
        <v>779</v>
      </c>
      <c r="H230" s="50"/>
      <c r="I230" s="50" t="s">
        <v>77</v>
      </c>
      <c r="J230" s="48"/>
      <c r="K230" s="52"/>
      <c r="L230" s="52"/>
      <c r="M230" s="88" t="s">
        <v>41</v>
      </c>
      <c r="N230" s="50"/>
      <c r="O230" s="50"/>
      <c r="P230" s="50"/>
      <c r="Q230" s="50"/>
      <c r="R230" s="50"/>
    </row>
    <row r="231" customFormat="false" ht="15.75" hidden="false" customHeight="false" outlineLevel="0" collapsed="false">
      <c r="A231" s="48" t="n">
        <v>1</v>
      </c>
      <c r="B231" s="48" t="s">
        <v>11</v>
      </c>
      <c r="C231" s="48"/>
      <c r="D231" s="49" t="s">
        <v>775</v>
      </c>
      <c r="E231" s="89" t="s">
        <v>602</v>
      </c>
      <c r="F231" s="48" t="s">
        <v>780</v>
      </c>
      <c r="G231" s="51" t="s">
        <v>781</v>
      </c>
      <c r="H231" s="50"/>
      <c r="I231" s="50" t="s">
        <v>77</v>
      </c>
      <c r="J231" s="48"/>
      <c r="K231" s="52"/>
      <c r="L231" s="52"/>
      <c r="M231" s="88" t="s">
        <v>41</v>
      </c>
      <c r="N231" s="50"/>
      <c r="O231" s="50"/>
      <c r="P231" s="50"/>
      <c r="Q231" s="50"/>
      <c r="R231" s="50"/>
    </row>
    <row r="232" customFormat="false" ht="27.75" hidden="false" customHeight="true" outlineLevel="0" collapsed="false">
      <c r="A232" s="48" t="n">
        <v>1</v>
      </c>
      <c r="B232" s="48" t="s">
        <v>11</v>
      </c>
      <c r="C232" s="48"/>
      <c r="D232" s="49" t="s">
        <v>775</v>
      </c>
      <c r="E232" s="89" t="s">
        <v>602</v>
      </c>
      <c r="F232" s="48" t="s">
        <v>782</v>
      </c>
      <c r="G232" s="51" t="s">
        <v>783</v>
      </c>
      <c r="H232" s="50"/>
      <c r="I232" s="50" t="s">
        <v>77</v>
      </c>
      <c r="J232" s="48"/>
      <c r="K232" s="52"/>
      <c r="L232" s="52"/>
      <c r="M232" s="88" t="s">
        <v>41</v>
      </c>
      <c r="N232" s="50"/>
      <c r="O232" s="50"/>
      <c r="P232" s="50"/>
      <c r="Q232" s="50"/>
      <c r="R232" s="50"/>
    </row>
    <row r="233" customFormat="false" ht="27.75" hidden="false" customHeight="true" outlineLevel="0" collapsed="false">
      <c r="A233" s="48" t="n">
        <v>1</v>
      </c>
      <c r="B233" s="48" t="s">
        <v>11</v>
      </c>
      <c r="C233" s="48" t="s">
        <v>52</v>
      </c>
      <c r="D233" s="49" t="s">
        <v>784</v>
      </c>
      <c r="E233" s="50"/>
      <c r="F233" s="48" t="s">
        <v>785</v>
      </c>
      <c r="G233" s="51" t="s">
        <v>786</v>
      </c>
      <c r="H233" s="65" t="s">
        <v>787</v>
      </c>
      <c r="I233" s="50" t="s">
        <v>77</v>
      </c>
      <c r="J233" s="48" t="s">
        <v>788</v>
      </c>
      <c r="K233" s="52"/>
      <c r="L233" s="52" t="n">
        <v>46234</v>
      </c>
      <c r="M233" s="105" t="s">
        <v>37</v>
      </c>
      <c r="N233" s="65" t="s">
        <v>789</v>
      </c>
      <c r="O233" s="65"/>
      <c r="P233" s="65"/>
      <c r="Q233" s="65"/>
      <c r="R233" s="65"/>
    </row>
    <row r="234" customFormat="false" ht="84" hidden="false" customHeight="true" outlineLevel="0" collapsed="false">
      <c r="A234" s="48" t="n">
        <v>1</v>
      </c>
      <c r="B234" s="48" t="s">
        <v>11</v>
      </c>
      <c r="C234" s="48" t="s">
        <v>52</v>
      </c>
      <c r="D234" s="49" t="s">
        <v>784</v>
      </c>
      <c r="E234" s="50"/>
      <c r="F234" s="48" t="s">
        <v>790</v>
      </c>
      <c r="G234" s="51" t="s">
        <v>791</v>
      </c>
      <c r="H234" s="50" t="s">
        <v>792</v>
      </c>
      <c r="I234" s="50" t="s">
        <v>77</v>
      </c>
      <c r="J234" s="48" t="s">
        <v>788</v>
      </c>
      <c r="K234" s="52"/>
      <c r="L234" s="52" t="n">
        <v>46262</v>
      </c>
      <c r="M234" s="54" t="s">
        <v>37</v>
      </c>
      <c r="N234" s="50" t="s">
        <v>793</v>
      </c>
      <c r="O234" s="50"/>
      <c r="P234" s="50"/>
      <c r="Q234" s="50"/>
      <c r="R234" s="50"/>
    </row>
    <row r="235" customFormat="false" ht="27.75" hidden="false" customHeight="true" outlineLevel="0" collapsed="false">
      <c r="A235" s="48" t="n">
        <v>1</v>
      </c>
      <c r="B235" s="48" t="s">
        <v>11</v>
      </c>
      <c r="C235" s="48" t="s">
        <v>52</v>
      </c>
      <c r="D235" s="49" t="s">
        <v>784</v>
      </c>
      <c r="E235" s="50"/>
      <c r="F235" s="48" t="s">
        <v>794</v>
      </c>
      <c r="G235" s="51" t="s">
        <v>795</v>
      </c>
      <c r="H235" s="50"/>
      <c r="I235" s="50" t="s">
        <v>77</v>
      </c>
      <c r="J235" s="48" t="s">
        <v>788</v>
      </c>
      <c r="K235" s="52"/>
      <c r="L235" s="52" t="n">
        <v>46482</v>
      </c>
      <c r="M235" s="54" t="s">
        <v>34</v>
      </c>
      <c r="N235" s="50"/>
      <c r="O235" s="50"/>
      <c r="P235" s="50"/>
      <c r="Q235" s="50"/>
      <c r="R235" s="50"/>
    </row>
    <row r="236" customFormat="false" ht="27.75" hidden="false" customHeight="true" outlineLevel="0" collapsed="false">
      <c r="A236" s="48" t="n">
        <v>1</v>
      </c>
      <c r="B236" s="48" t="s">
        <v>11</v>
      </c>
      <c r="C236" s="48" t="s">
        <v>52</v>
      </c>
      <c r="D236" s="49" t="s">
        <v>784</v>
      </c>
      <c r="E236" s="50"/>
      <c r="F236" s="48" t="s">
        <v>796</v>
      </c>
      <c r="G236" s="51" t="s">
        <v>797</v>
      </c>
      <c r="H236" s="50" t="s">
        <v>798</v>
      </c>
      <c r="I236" s="50" t="s">
        <v>77</v>
      </c>
      <c r="J236" s="48" t="s">
        <v>788</v>
      </c>
      <c r="K236" s="52"/>
      <c r="L236" s="52" t="n">
        <v>46493</v>
      </c>
      <c r="M236" s="54" t="s">
        <v>37</v>
      </c>
      <c r="N236" s="50" t="s">
        <v>799</v>
      </c>
      <c r="O236" s="50"/>
      <c r="P236" s="50"/>
      <c r="Q236" s="50"/>
      <c r="R236" s="50"/>
    </row>
    <row r="237" customFormat="false" ht="27.75" hidden="false" customHeight="true" outlineLevel="0" collapsed="false">
      <c r="A237" s="48" t="n">
        <v>1</v>
      </c>
      <c r="B237" s="48" t="s">
        <v>11</v>
      </c>
      <c r="C237" s="48" t="s">
        <v>52</v>
      </c>
      <c r="D237" s="49" t="s">
        <v>784</v>
      </c>
      <c r="E237" s="50"/>
      <c r="F237" s="48" t="s">
        <v>800</v>
      </c>
      <c r="G237" s="51" t="s">
        <v>801</v>
      </c>
      <c r="H237" s="50"/>
      <c r="I237" s="50" t="s">
        <v>77</v>
      </c>
      <c r="J237" s="48" t="s">
        <v>788</v>
      </c>
      <c r="K237" s="52"/>
      <c r="L237" s="52" t="n">
        <v>46296</v>
      </c>
      <c r="M237" s="54" t="s">
        <v>34</v>
      </c>
      <c r="N237" s="50"/>
      <c r="O237" s="50"/>
      <c r="P237" s="50"/>
      <c r="Q237" s="50"/>
      <c r="R237" s="50"/>
    </row>
    <row r="238" customFormat="false" ht="55.5" hidden="false" customHeight="true" outlineLevel="0" collapsed="false">
      <c r="A238" s="48" t="n">
        <v>1</v>
      </c>
      <c r="B238" s="48" t="s">
        <v>11</v>
      </c>
      <c r="C238" s="48" t="s">
        <v>52</v>
      </c>
      <c r="D238" s="49" t="s">
        <v>784</v>
      </c>
      <c r="E238" s="50"/>
      <c r="F238" s="48" t="s">
        <v>802</v>
      </c>
      <c r="G238" s="51" t="s">
        <v>803</v>
      </c>
      <c r="H238" s="50" t="s">
        <v>804</v>
      </c>
      <c r="I238" s="50" t="s">
        <v>77</v>
      </c>
      <c r="J238" s="48" t="s">
        <v>788</v>
      </c>
      <c r="K238" s="52"/>
      <c r="L238" s="52" t="n">
        <v>46493</v>
      </c>
      <c r="M238" s="54" t="s">
        <v>37</v>
      </c>
      <c r="N238" s="50" t="s">
        <v>805</v>
      </c>
      <c r="O238" s="50"/>
      <c r="P238" s="50"/>
      <c r="Q238" s="50"/>
      <c r="R238" s="50"/>
    </row>
    <row r="239" customFormat="false" ht="15.75" hidden="false" customHeight="false" outlineLevel="0" collapsed="false">
      <c r="A239" s="48" t="n">
        <v>1</v>
      </c>
      <c r="B239" s="48" t="s">
        <v>11</v>
      </c>
      <c r="C239" s="48" t="s">
        <v>52</v>
      </c>
      <c r="D239" s="49" t="s">
        <v>784</v>
      </c>
      <c r="E239" s="50"/>
      <c r="F239" s="48" t="s">
        <v>806</v>
      </c>
      <c r="G239" s="51" t="s">
        <v>807</v>
      </c>
      <c r="H239" s="50" t="s">
        <v>808</v>
      </c>
      <c r="I239" s="50" t="s">
        <v>77</v>
      </c>
      <c r="J239" s="48" t="s">
        <v>788</v>
      </c>
      <c r="K239" s="52"/>
      <c r="L239" s="52"/>
      <c r="M239" s="54"/>
      <c r="N239" s="50"/>
      <c r="O239" s="50"/>
      <c r="P239" s="50"/>
      <c r="Q239" s="50"/>
      <c r="R239" s="50"/>
    </row>
    <row r="240" customFormat="false" ht="42" hidden="false" customHeight="true" outlineLevel="0" collapsed="false">
      <c r="A240" s="48" t="n">
        <v>1</v>
      </c>
      <c r="B240" s="48" t="s">
        <v>11</v>
      </c>
      <c r="C240" s="48" t="s">
        <v>52</v>
      </c>
      <c r="D240" s="49" t="s">
        <v>784</v>
      </c>
      <c r="E240" s="50"/>
      <c r="F240" s="48" t="s">
        <v>809</v>
      </c>
      <c r="G240" s="51" t="s">
        <v>810</v>
      </c>
      <c r="H240" s="50"/>
      <c r="I240" s="50" t="s">
        <v>77</v>
      </c>
      <c r="J240" s="48" t="s">
        <v>788</v>
      </c>
      <c r="K240" s="52"/>
      <c r="L240" s="52" t="n">
        <v>46363</v>
      </c>
      <c r="M240" s="54" t="s">
        <v>34</v>
      </c>
      <c r="N240" s="50" t="s">
        <v>811</v>
      </c>
      <c r="O240" s="50"/>
      <c r="P240" s="50"/>
      <c r="Q240" s="50"/>
      <c r="R240" s="50"/>
    </row>
    <row r="241" customFormat="false" ht="27.75" hidden="false" customHeight="true" outlineLevel="0" collapsed="false">
      <c r="A241" s="48" t="n">
        <v>1</v>
      </c>
      <c r="B241" s="48" t="s">
        <v>11</v>
      </c>
      <c r="C241" s="48" t="s">
        <v>52</v>
      </c>
      <c r="D241" s="49" t="s">
        <v>784</v>
      </c>
      <c r="E241" s="50"/>
      <c r="F241" s="48" t="s">
        <v>85</v>
      </c>
      <c r="G241" s="57" t="s">
        <v>812</v>
      </c>
      <c r="H241" s="50" t="s">
        <v>813</v>
      </c>
      <c r="I241" s="50" t="s">
        <v>77</v>
      </c>
      <c r="J241" s="48" t="s">
        <v>788</v>
      </c>
      <c r="K241" s="52"/>
      <c r="L241" s="52" t="n">
        <v>46296</v>
      </c>
      <c r="M241" s="58" t="s">
        <v>39</v>
      </c>
      <c r="N241" s="50" t="s">
        <v>92</v>
      </c>
      <c r="O241" s="50"/>
      <c r="P241" s="50"/>
      <c r="Q241" s="50"/>
      <c r="R241" s="50"/>
    </row>
    <row r="242" customFormat="false" ht="27.75" hidden="false" customHeight="true" outlineLevel="0" collapsed="false">
      <c r="A242" s="48" t="n">
        <v>1</v>
      </c>
      <c r="B242" s="48" t="s">
        <v>11</v>
      </c>
      <c r="C242" s="48" t="s">
        <v>52</v>
      </c>
      <c r="D242" s="49" t="s">
        <v>784</v>
      </c>
      <c r="E242" s="50"/>
      <c r="F242" s="48" t="s">
        <v>85</v>
      </c>
      <c r="G242" s="57" t="s">
        <v>814</v>
      </c>
      <c r="H242" s="50" t="s">
        <v>815</v>
      </c>
      <c r="I242" s="50" t="s">
        <v>77</v>
      </c>
      <c r="J242" s="48" t="s">
        <v>788</v>
      </c>
      <c r="K242" s="52"/>
      <c r="L242" s="52" t="n">
        <v>46419</v>
      </c>
      <c r="M242" s="58" t="s">
        <v>39</v>
      </c>
      <c r="N242" s="50" t="s">
        <v>92</v>
      </c>
      <c r="O242" s="50"/>
      <c r="P242" s="50"/>
      <c r="Q242" s="50"/>
      <c r="R242" s="50"/>
    </row>
    <row r="243" customFormat="false" ht="30" hidden="false" customHeight="true" outlineLevel="0" collapsed="false">
      <c r="A243" s="59" t="n">
        <v>2</v>
      </c>
      <c r="B243" s="59" t="s">
        <v>97</v>
      </c>
      <c r="C243" s="59" t="s">
        <v>52</v>
      </c>
      <c r="D243" s="59" t="s">
        <v>784</v>
      </c>
      <c r="E243" s="60"/>
      <c r="F243" s="60" t="s">
        <v>816</v>
      </c>
      <c r="G243" s="61" t="s">
        <v>817</v>
      </c>
      <c r="H243" s="61" t="s">
        <v>818</v>
      </c>
      <c r="I243" s="60" t="s">
        <v>101</v>
      </c>
      <c r="J243" s="62" t="s">
        <v>788</v>
      </c>
      <c r="K243" s="63"/>
      <c r="L243" s="63"/>
      <c r="M243" s="64" t="s">
        <v>41</v>
      </c>
      <c r="N243" s="61"/>
      <c r="O243" s="61"/>
      <c r="P243" s="61"/>
      <c r="Q243" s="61"/>
      <c r="R243" s="61"/>
    </row>
    <row r="244" customFormat="false" ht="15.75" hidden="false" customHeight="false" outlineLevel="0" collapsed="false">
      <c r="A244" s="96" t="n">
        <v>3</v>
      </c>
      <c r="B244" s="96" t="s">
        <v>97</v>
      </c>
      <c r="C244" s="96" t="s">
        <v>52</v>
      </c>
      <c r="D244" s="96" t="s">
        <v>784</v>
      </c>
      <c r="E244" s="97"/>
      <c r="F244" s="97" t="s">
        <v>819</v>
      </c>
      <c r="G244" s="98" t="s">
        <v>647</v>
      </c>
      <c r="H244" s="98" t="s">
        <v>648</v>
      </c>
      <c r="I244" s="97" t="s">
        <v>101</v>
      </c>
      <c r="J244" s="99" t="s">
        <v>788</v>
      </c>
      <c r="K244" s="100"/>
      <c r="L244" s="100" t="n">
        <v>46225</v>
      </c>
      <c r="M244" s="101" t="s">
        <v>31</v>
      </c>
      <c r="N244" s="102" t="s">
        <v>650</v>
      </c>
      <c r="O244" s="102"/>
      <c r="P244" s="102"/>
      <c r="Q244" s="102"/>
      <c r="R244" s="102"/>
    </row>
    <row r="245" customFormat="false" ht="15.75" hidden="false" customHeight="false" outlineLevel="0" collapsed="false">
      <c r="A245" s="96" t="n">
        <v>3</v>
      </c>
      <c r="B245" s="96" t="s">
        <v>97</v>
      </c>
      <c r="C245" s="96" t="s">
        <v>52</v>
      </c>
      <c r="D245" s="96" t="s">
        <v>784</v>
      </c>
      <c r="E245" s="97"/>
      <c r="F245" s="97" t="s">
        <v>820</v>
      </c>
      <c r="G245" s="98" t="s">
        <v>821</v>
      </c>
      <c r="H245" s="98"/>
      <c r="I245" s="97" t="s">
        <v>101</v>
      </c>
      <c r="J245" s="99" t="s">
        <v>788</v>
      </c>
      <c r="K245" s="100"/>
      <c r="L245" s="100" t="n">
        <v>46241</v>
      </c>
      <c r="M245" s="101" t="s">
        <v>34</v>
      </c>
      <c r="N245" s="102" t="s">
        <v>822</v>
      </c>
      <c r="O245" s="102"/>
      <c r="P245" s="102"/>
      <c r="Q245" s="102"/>
      <c r="R245" s="102"/>
    </row>
    <row r="246" customFormat="false" ht="15.75" hidden="false" customHeight="false" outlineLevel="0" collapsed="false">
      <c r="A246" s="96" t="n">
        <v>3</v>
      </c>
      <c r="B246" s="96" t="s">
        <v>97</v>
      </c>
      <c r="C246" s="96" t="s">
        <v>52</v>
      </c>
      <c r="D246" s="96" t="s">
        <v>784</v>
      </c>
      <c r="E246" s="97"/>
      <c r="F246" s="97" t="s">
        <v>823</v>
      </c>
      <c r="G246" s="98" t="s">
        <v>824</v>
      </c>
      <c r="H246" s="98"/>
      <c r="I246" s="97" t="s">
        <v>101</v>
      </c>
      <c r="J246" s="99" t="s">
        <v>788</v>
      </c>
      <c r="K246" s="100"/>
      <c r="L246" s="100" t="n">
        <v>46241</v>
      </c>
      <c r="M246" s="101" t="s">
        <v>34</v>
      </c>
      <c r="N246" s="102" t="s">
        <v>825</v>
      </c>
      <c r="O246" s="102"/>
      <c r="P246" s="102"/>
      <c r="Q246" s="102"/>
      <c r="R246" s="102"/>
    </row>
    <row r="247" customFormat="false" ht="15.75" hidden="false" customHeight="false" outlineLevel="0" collapsed="false">
      <c r="A247" s="96" t="n">
        <v>3</v>
      </c>
      <c r="B247" s="96" t="s">
        <v>97</v>
      </c>
      <c r="C247" s="96" t="s">
        <v>52</v>
      </c>
      <c r="D247" s="96" t="s">
        <v>784</v>
      </c>
      <c r="E247" s="97"/>
      <c r="F247" s="97" t="s">
        <v>826</v>
      </c>
      <c r="G247" s="98" t="s">
        <v>827</v>
      </c>
      <c r="H247" s="98"/>
      <c r="I247" s="97" t="s">
        <v>101</v>
      </c>
      <c r="J247" s="99" t="s">
        <v>788</v>
      </c>
      <c r="K247" s="100"/>
      <c r="L247" s="100" t="n">
        <v>46241</v>
      </c>
      <c r="M247" s="101" t="s">
        <v>34</v>
      </c>
      <c r="N247" s="102" t="s">
        <v>825</v>
      </c>
      <c r="O247" s="102"/>
      <c r="P247" s="102"/>
      <c r="Q247" s="102"/>
      <c r="R247" s="102"/>
    </row>
    <row r="248" customFormat="false" ht="15.75" hidden="false" customHeight="false" outlineLevel="0" collapsed="false">
      <c r="A248" s="96" t="n">
        <v>3</v>
      </c>
      <c r="B248" s="96" t="s">
        <v>97</v>
      </c>
      <c r="C248" s="96" t="s">
        <v>52</v>
      </c>
      <c r="D248" s="96" t="s">
        <v>784</v>
      </c>
      <c r="E248" s="97"/>
      <c r="F248" s="97" t="s">
        <v>828</v>
      </c>
      <c r="G248" s="98" t="s">
        <v>829</v>
      </c>
      <c r="H248" s="98"/>
      <c r="I248" s="97" t="s">
        <v>101</v>
      </c>
      <c r="J248" s="99" t="s">
        <v>788</v>
      </c>
      <c r="K248" s="100"/>
      <c r="L248" s="100" t="n">
        <v>46241</v>
      </c>
      <c r="M248" s="101" t="s">
        <v>34</v>
      </c>
      <c r="N248" s="102" t="s">
        <v>822</v>
      </c>
      <c r="O248" s="102"/>
      <c r="P248" s="102"/>
      <c r="Q248" s="102"/>
      <c r="R248" s="102"/>
    </row>
    <row r="249" customFormat="false" ht="15.75" hidden="false" customHeight="false" outlineLevel="0" collapsed="false">
      <c r="A249" s="96" t="n">
        <v>3</v>
      </c>
      <c r="B249" s="96" t="s">
        <v>97</v>
      </c>
      <c r="C249" s="96" t="s">
        <v>52</v>
      </c>
      <c r="D249" s="96" t="s">
        <v>784</v>
      </c>
      <c r="E249" s="97"/>
      <c r="F249" s="97" t="s">
        <v>830</v>
      </c>
      <c r="G249" s="98" t="s">
        <v>831</v>
      </c>
      <c r="H249" s="98"/>
      <c r="I249" s="97" t="s">
        <v>101</v>
      </c>
      <c r="J249" s="99" t="s">
        <v>788</v>
      </c>
      <c r="K249" s="100"/>
      <c r="L249" s="100" t="n">
        <v>46241</v>
      </c>
      <c r="M249" s="101" t="s">
        <v>754</v>
      </c>
      <c r="N249" s="102" t="s">
        <v>832</v>
      </c>
      <c r="O249" s="102"/>
      <c r="P249" s="102"/>
      <c r="Q249" s="102"/>
      <c r="R249" s="102"/>
    </row>
    <row r="250" customFormat="false" ht="15.75" hidden="false" customHeight="false" outlineLevel="0" collapsed="false">
      <c r="A250" s="96" t="n">
        <v>3</v>
      </c>
      <c r="B250" s="96" t="s">
        <v>97</v>
      </c>
      <c r="C250" s="96" t="s">
        <v>52</v>
      </c>
      <c r="D250" s="96" t="s">
        <v>784</v>
      </c>
      <c r="E250" s="97"/>
      <c r="F250" s="97" t="s">
        <v>833</v>
      </c>
      <c r="G250" s="98" t="s">
        <v>834</v>
      </c>
      <c r="H250" s="98"/>
      <c r="I250" s="97" t="s">
        <v>101</v>
      </c>
      <c r="J250" s="99" t="s">
        <v>788</v>
      </c>
      <c r="K250" s="100"/>
      <c r="L250" s="100" t="n">
        <v>46241</v>
      </c>
      <c r="M250" s="101" t="s">
        <v>754</v>
      </c>
      <c r="N250" s="102"/>
      <c r="O250" s="102"/>
      <c r="P250" s="102"/>
      <c r="Q250" s="102"/>
      <c r="R250" s="102"/>
    </row>
    <row r="251" customFormat="false" ht="15.75" hidden="false" customHeight="false" outlineLevel="0" collapsed="false">
      <c r="A251" s="96" t="n">
        <v>3</v>
      </c>
      <c r="B251" s="96" t="s">
        <v>97</v>
      </c>
      <c r="C251" s="96" t="s">
        <v>52</v>
      </c>
      <c r="D251" s="96" t="s">
        <v>784</v>
      </c>
      <c r="E251" s="97"/>
      <c r="F251" s="97" t="s">
        <v>835</v>
      </c>
      <c r="G251" s="98" t="s">
        <v>836</v>
      </c>
      <c r="H251" s="98"/>
      <c r="I251" s="97" t="s">
        <v>101</v>
      </c>
      <c r="J251" s="99" t="s">
        <v>788</v>
      </c>
      <c r="K251" s="100"/>
      <c r="L251" s="100" t="n">
        <v>46241</v>
      </c>
      <c r="M251" s="101" t="s">
        <v>754</v>
      </c>
      <c r="N251" s="102"/>
      <c r="O251" s="102"/>
      <c r="P251" s="102"/>
      <c r="Q251" s="102"/>
      <c r="R251" s="102"/>
    </row>
    <row r="252" customFormat="false" ht="45" hidden="false" customHeight="true" outlineLevel="0" collapsed="false">
      <c r="A252" s="59" t="n">
        <v>2</v>
      </c>
      <c r="B252" s="59" t="s">
        <v>97</v>
      </c>
      <c r="C252" s="59" t="s">
        <v>52</v>
      </c>
      <c r="D252" s="59" t="s">
        <v>784</v>
      </c>
      <c r="E252" s="60"/>
      <c r="F252" s="60" t="s">
        <v>837</v>
      </c>
      <c r="G252" s="61" t="s">
        <v>838</v>
      </c>
      <c r="H252" s="61" t="s">
        <v>839</v>
      </c>
      <c r="I252" s="60" t="s">
        <v>101</v>
      </c>
      <c r="J252" s="62" t="s">
        <v>788</v>
      </c>
      <c r="K252" s="63"/>
      <c r="L252" s="63"/>
      <c r="M252" s="64" t="s">
        <v>41</v>
      </c>
      <c r="N252" s="61"/>
      <c r="O252" s="61"/>
      <c r="P252" s="61"/>
      <c r="Q252" s="61"/>
      <c r="R252" s="61"/>
    </row>
    <row r="253" customFormat="false" ht="30" hidden="false" customHeight="true" outlineLevel="0" collapsed="false">
      <c r="A253" s="59" t="n">
        <v>2</v>
      </c>
      <c r="B253" s="59" t="s">
        <v>97</v>
      </c>
      <c r="C253" s="59" t="s">
        <v>52</v>
      </c>
      <c r="D253" s="59" t="s">
        <v>784</v>
      </c>
      <c r="E253" s="60"/>
      <c r="F253" s="60" t="s">
        <v>840</v>
      </c>
      <c r="G253" s="61" t="s">
        <v>841</v>
      </c>
      <c r="H253" s="61" t="s">
        <v>842</v>
      </c>
      <c r="I253" s="60" t="s">
        <v>101</v>
      </c>
      <c r="J253" s="62" t="s">
        <v>788</v>
      </c>
      <c r="K253" s="63"/>
      <c r="L253" s="63"/>
      <c r="M253" s="64" t="s">
        <v>41</v>
      </c>
      <c r="N253" s="61"/>
      <c r="O253" s="61"/>
      <c r="P253" s="61"/>
      <c r="Q253" s="61"/>
      <c r="R253" s="61"/>
    </row>
    <row r="254" customFormat="false" ht="45" hidden="false" customHeight="true" outlineLevel="0" collapsed="false">
      <c r="A254" s="59" t="n">
        <v>2</v>
      </c>
      <c r="B254" s="59" t="s">
        <v>97</v>
      </c>
      <c r="C254" s="59" t="s">
        <v>52</v>
      </c>
      <c r="D254" s="59" t="s">
        <v>784</v>
      </c>
      <c r="E254" s="60"/>
      <c r="F254" s="60" t="s">
        <v>843</v>
      </c>
      <c r="G254" s="61" t="s">
        <v>844</v>
      </c>
      <c r="H254" s="61" t="s">
        <v>845</v>
      </c>
      <c r="I254" s="60" t="s">
        <v>101</v>
      </c>
      <c r="J254" s="62" t="s">
        <v>788</v>
      </c>
      <c r="K254" s="63"/>
      <c r="L254" s="63"/>
      <c r="M254" s="64" t="s">
        <v>41</v>
      </c>
      <c r="N254" s="61"/>
      <c r="O254" s="61"/>
      <c r="P254" s="61"/>
      <c r="Q254" s="61"/>
      <c r="R254" s="61"/>
    </row>
    <row r="255" customFormat="false" ht="30" hidden="false" customHeight="true" outlineLevel="0" collapsed="false">
      <c r="A255" s="59" t="n">
        <v>2</v>
      </c>
      <c r="B255" s="59" t="s">
        <v>97</v>
      </c>
      <c r="C255" s="59" t="s">
        <v>52</v>
      </c>
      <c r="D255" s="59" t="s">
        <v>784</v>
      </c>
      <c r="E255" s="60"/>
      <c r="F255" s="60" t="s">
        <v>846</v>
      </c>
      <c r="G255" s="61" t="s">
        <v>847</v>
      </c>
      <c r="H255" s="61" t="s">
        <v>848</v>
      </c>
      <c r="I255" s="60" t="s">
        <v>101</v>
      </c>
      <c r="J255" s="62" t="s">
        <v>788</v>
      </c>
      <c r="K255" s="63"/>
      <c r="L255" s="63"/>
      <c r="M255" s="64" t="s">
        <v>41</v>
      </c>
      <c r="N255" s="61"/>
      <c r="O255" s="61"/>
      <c r="P255" s="61"/>
      <c r="Q255" s="61"/>
      <c r="R255" s="61"/>
    </row>
    <row r="256" customFormat="false" ht="30" hidden="false" customHeight="true" outlineLevel="0" collapsed="false">
      <c r="A256" s="59" t="n">
        <v>2</v>
      </c>
      <c r="B256" s="59" t="s">
        <v>97</v>
      </c>
      <c r="C256" s="59" t="s">
        <v>52</v>
      </c>
      <c r="D256" s="59" t="s">
        <v>784</v>
      </c>
      <c r="E256" s="60"/>
      <c r="F256" s="60" t="s">
        <v>849</v>
      </c>
      <c r="G256" s="61" t="s">
        <v>850</v>
      </c>
      <c r="H256" s="61" t="s">
        <v>851</v>
      </c>
      <c r="I256" s="60" t="s">
        <v>101</v>
      </c>
      <c r="J256" s="62" t="s">
        <v>788</v>
      </c>
      <c r="K256" s="63"/>
      <c r="L256" s="63"/>
      <c r="M256" s="64" t="s">
        <v>41</v>
      </c>
      <c r="N256" s="61"/>
      <c r="O256" s="61"/>
      <c r="P256" s="61"/>
      <c r="Q256" s="61"/>
      <c r="R256" s="61"/>
    </row>
    <row r="257" customFormat="false" ht="30" hidden="false" customHeight="true" outlineLevel="0" collapsed="false">
      <c r="A257" s="59" t="n">
        <v>2</v>
      </c>
      <c r="B257" s="59" t="s">
        <v>97</v>
      </c>
      <c r="C257" s="59" t="s">
        <v>52</v>
      </c>
      <c r="D257" s="59" t="s">
        <v>784</v>
      </c>
      <c r="E257" s="60"/>
      <c r="F257" s="60" t="s">
        <v>852</v>
      </c>
      <c r="G257" s="61" t="s">
        <v>853</v>
      </c>
      <c r="H257" s="61" t="s">
        <v>854</v>
      </c>
      <c r="I257" s="60" t="s">
        <v>101</v>
      </c>
      <c r="J257" s="62" t="s">
        <v>788</v>
      </c>
      <c r="K257" s="63"/>
      <c r="L257" s="63"/>
      <c r="M257" s="64" t="s">
        <v>41</v>
      </c>
      <c r="N257" s="61"/>
      <c r="O257" s="61"/>
      <c r="P257" s="61"/>
      <c r="Q257" s="61"/>
      <c r="R257" s="61"/>
    </row>
    <row r="258" customFormat="false" ht="30" hidden="false" customHeight="true" outlineLevel="0" collapsed="false">
      <c r="A258" s="59" t="n">
        <v>2</v>
      </c>
      <c r="B258" s="59" t="s">
        <v>97</v>
      </c>
      <c r="C258" s="59" t="s">
        <v>52</v>
      </c>
      <c r="D258" s="59" t="s">
        <v>784</v>
      </c>
      <c r="E258" s="60"/>
      <c r="F258" s="60" t="s">
        <v>855</v>
      </c>
      <c r="G258" s="61" t="s">
        <v>856</v>
      </c>
      <c r="H258" s="61" t="s">
        <v>857</v>
      </c>
      <c r="I258" s="60" t="s">
        <v>101</v>
      </c>
      <c r="J258" s="62" t="s">
        <v>788</v>
      </c>
      <c r="K258" s="63"/>
      <c r="L258" s="63"/>
      <c r="M258" s="64" t="s">
        <v>41</v>
      </c>
      <c r="N258" s="61"/>
      <c r="O258" s="61"/>
      <c r="P258" s="61"/>
      <c r="Q258" s="61"/>
      <c r="R258" s="61"/>
    </row>
    <row r="259" customFormat="false" ht="30" hidden="false" customHeight="true" outlineLevel="0" collapsed="false">
      <c r="A259" s="59" t="n">
        <v>2</v>
      </c>
      <c r="B259" s="59" t="s">
        <v>97</v>
      </c>
      <c r="C259" s="59" t="s">
        <v>52</v>
      </c>
      <c r="D259" s="59" t="s">
        <v>784</v>
      </c>
      <c r="E259" s="60"/>
      <c r="F259" s="60" t="s">
        <v>858</v>
      </c>
      <c r="G259" s="61" t="s">
        <v>859</v>
      </c>
      <c r="H259" s="61" t="s">
        <v>860</v>
      </c>
      <c r="I259" s="60" t="s">
        <v>101</v>
      </c>
      <c r="J259" s="62" t="s">
        <v>788</v>
      </c>
      <c r="K259" s="63"/>
      <c r="L259" s="63"/>
      <c r="M259" s="64" t="s">
        <v>41</v>
      </c>
      <c r="N259" s="61"/>
      <c r="O259" s="61"/>
      <c r="P259" s="61"/>
      <c r="Q259" s="61"/>
      <c r="R259" s="61"/>
    </row>
    <row r="260" customFormat="false" ht="15.75" hidden="false" customHeight="false" outlineLevel="0" collapsed="false">
      <c r="A260" s="59" t="n">
        <v>2</v>
      </c>
      <c r="B260" s="59" t="s">
        <v>97</v>
      </c>
      <c r="C260" s="59" t="s">
        <v>52</v>
      </c>
      <c r="D260" s="59" t="s">
        <v>784</v>
      </c>
      <c r="E260" s="60"/>
      <c r="F260" s="60" t="s">
        <v>861</v>
      </c>
      <c r="G260" s="61" t="s">
        <v>862</v>
      </c>
      <c r="H260" s="61" t="s">
        <v>863</v>
      </c>
      <c r="I260" s="60" t="s">
        <v>101</v>
      </c>
      <c r="J260" s="62" t="s">
        <v>788</v>
      </c>
      <c r="K260" s="63"/>
      <c r="L260" s="63"/>
      <c r="M260" s="64" t="s">
        <v>41</v>
      </c>
      <c r="N260" s="61"/>
      <c r="O260" s="61"/>
      <c r="P260" s="61"/>
      <c r="Q260" s="61"/>
      <c r="R260" s="61"/>
    </row>
    <row r="261" customFormat="false" ht="30" hidden="false" customHeight="true" outlineLevel="0" collapsed="false">
      <c r="A261" s="96" t="n">
        <v>3</v>
      </c>
      <c r="B261" s="96" t="s">
        <v>97</v>
      </c>
      <c r="C261" s="96" t="s">
        <v>52</v>
      </c>
      <c r="D261" s="96" t="s">
        <v>784</v>
      </c>
      <c r="E261" s="97"/>
      <c r="F261" s="97" t="s">
        <v>864</v>
      </c>
      <c r="G261" s="106" t="s">
        <v>865</v>
      </c>
      <c r="H261" s="98"/>
      <c r="I261" s="97" t="s">
        <v>101</v>
      </c>
      <c r="J261" s="99" t="s">
        <v>788</v>
      </c>
      <c r="K261" s="100"/>
      <c r="L261" s="100" t="n">
        <v>46241</v>
      </c>
      <c r="M261" s="101" t="s">
        <v>34</v>
      </c>
      <c r="N261" s="102" t="s">
        <v>822</v>
      </c>
      <c r="O261" s="102"/>
      <c r="P261" s="102"/>
      <c r="Q261" s="102"/>
      <c r="R261" s="102"/>
    </row>
    <row r="262" customFormat="false" ht="15.75" hidden="false" customHeight="false" outlineLevel="0" collapsed="false">
      <c r="A262" s="96" t="n">
        <v>3</v>
      </c>
      <c r="B262" s="96" t="s">
        <v>97</v>
      </c>
      <c r="C262" s="96" t="s">
        <v>52</v>
      </c>
      <c r="D262" s="96" t="s">
        <v>784</v>
      </c>
      <c r="E262" s="97"/>
      <c r="F262" s="97" t="s">
        <v>866</v>
      </c>
      <c r="G262" s="106" t="s">
        <v>867</v>
      </c>
      <c r="H262" s="98"/>
      <c r="I262" s="97" t="s">
        <v>101</v>
      </c>
      <c r="J262" s="99" t="s">
        <v>788</v>
      </c>
      <c r="K262" s="100"/>
      <c r="L262" s="100" t="n">
        <v>46241</v>
      </c>
      <c r="M262" s="101" t="s">
        <v>39</v>
      </c>
      <c r="N262" s="102"/>
      <c r="O262" s="102"/>
      <c r="P262" s="102"/>
      <c r="Q262" s="102"/>
      <c r="R262" s="102"/>
    </row>
    <row r="263" customFormat="false" ht="15.75" hidden="false" customHeight="false" outlineLevel="0" collapsed="false">
      <c r="A263" s="48" t="n">
        <v>1</v>
      </c>
      <c r="B263" s="48" t="s">
        <v>11</v>
      </c>
      <c r="C263" s="48" t="s">
        <v>52</v>
      </c>
      <c r="D263" s="49" t="s">
        <v>52</v>
      </c>
      <c r="E263" s="89" t="s">
        <v>602</v>
      </c>
      <c r="F263" s="48" t="s">
        <v>868</v>
      </c>
      <c r="G263" s="51" t="s">
        <v>869</v>
      </c>
      <c r="H263" s="50"/>
      <c r="I263" s="50" t="s">
        <v>77</v>
      </c>
      <c r="J263" s="48"/>
      <c r="K263" s="52"/>
      <c r="L263" s="52" t="n">
        <v>46402</v>
      </c>
      <c r="M263" s="88" t="s">
        <v>41</v>
      </c>
      <c r="N263" s="50"/>
      <c r="O263" s="50"/>
      <c r="P263" s="50"/>
      <c r="Q263" s="50"/>
      <c r="R263" s="50"/>
    </row>
    <row r="264" customFormat="false" ht="15.75" hidden="false" customHeight="false" outlineLevel="0" collapsed="false">
      <c r="A264" s="48" t="n">
        <v>1</v>
      </c>
      <c r="B264" s="48" t="s">
        <v>11</v>
      </c>
      <c r="C264" s="48" t="s">
        <v>52</v>
      </c>
      <c r="D264" s="49" t="s">
        <v>52</v>
      </c>
      <c r="E264" s="89" t="s">
        <v>602</v>
      </c>
      <c r="F264" s="48" t="s">
        <v>870</v>
      </c>
      <c r="G264" s="51" t="s">
        <v>871</v>
      </c>
      <c r="H264" s="50"/>
      <c r="I264" s="50" t="s">
        <v>77</v>
      </c>
      <c r="J264" s="48"/>
      <c r="K264" s="52"/>
      <c r="L264" s="52" t="n">
        <v>46492</v>
      </c>
      <c r="M264" s="58" t="s">
        <v>39</v>
      </c>
      <c r="N264" s="50"/>
      <c r="O264" s="50"/>
      <c r="P264" s="50"/>
      <c r="Q264" s="50"/>
      <c r="R264" s="50"/>
    </row>
    <row r="265" customFormat="false" ht="15.75" hidden="false" customHeight="false" outlineLevel="0" collapsed="false">
      <c r="A265" s="48" t="n">
        <v>1</v>
      </c>
      <c r="B265" s="48" t="s">
        <v>11</v>
      </c>
      <c r="C265" s="48" t="s">
        <v>52</v>
      </c>
      <c r="D265" s="49" t="s">
        <v>52</v>
      </c>
      <c r="E265" s="89" t="s">
        <v>602</v>
      </c>
      <c r="F265" s="48" t="s">
        <v>872</v>
      </c>
      <c r="G265" s="51" t="s">
        <v>873</v>
      </c>
      <c r="H265" s="50"/>
      <c r="I265" s="50" t="s">
        <v>77</v>
      </c>
      <c r="J265" s="48"/>
      <c r="K265" s="52"/>
      <c r="L265" s="52" t="n">
        <v>46508</v>
      </c>
      <c r="M265" s="58" t="s">
        <v>39</v>
      </c>
      <c r="N265" s="50"/>
      <c r="O265" s="50"/>
      <c r="P265" s="50"/>
      <c r="Q265" s="50"/>
      <c r="R265" s="50"/>
    </row>
    <row r="266" customFormat="false" ht="15.75" hidden="false" customHeight="false" outlineLevel="0" collapsed="false">
      <c r="A266" s="48" t="n">
        <v>1</v>
      </c>
      <c r="B266" s="48" t="s">
        <v>11</v>
      </c>
      <c r="C266" s="48" t="s">
        <v>52</v>
      </c>
      <c r="D266" s="49" t="s">
        <v>52</v>
      </c>
      <c r="E266" s="89" t="s">
        <v>602</v>
      </c>
      <c r="F266" s="48" t="s">
        <v>874</v>
      </c>
      <c r="G266" s="51" t="s">
        <v>875</v>
      </c>
      <c r="H266" s="50"/>
      <c r="I266" s="50" t="s">
        <v>77</v>
      </c>
      <c r="J266" s="48"/>
      <c r="K266" s="52"/>
      <c r="L266" s="52" t="n">
        <v>46371</v>
      </c>
      <c r="M266" s="54" t="s">
        <v>34</v>
      </c>
      <c r="N266" s="50"/>
      <c r="O266" s="50"/>
      <c r="P266" s="50"/>
      <c r="Q266" s="50"/>
      <c r="R266" s="50"/>
    </row>
    <row r="267" customFormat="false" ht="27.75" hidden="false" customHeight="true" outlineLevel="0" collapsed="false">
      <c r="A267" s="48" t="n">
        <v>1</v>
      </c>
      <c r="B267" s="48" t="s">
        <v>11</v>
      </c>
      <c r="C267" s="48"/>
      <c r="D267" s="49" t="s">
        <v>876</v>
      </c>
      <c r="E267" s="89" t="s">
        <v>602</v>
      </c>
      <c r="F267" s="48" t="s">
        <v>877</v>
      </c>
      <c r="G267" s="51" t="s">
        <v>878</v>
      </c>
      <c r="H267" s="50"/>
      <c r="I267" s="50" t="s">
        <v>77</v>
      </c>
      <c r="J267" s="48"/>
      <c r="K267" s="52"/>
      <c r="L267" s="52" t="n">
        <v>46418</v>
      </c>
      <c r="M267" s="54" t="s">
        <v>34</v>
      </c>
      <c r="N267" s="50"/>
      <c r="O267" s="50"/>
      <c r="P267" s="50"/>
      <c r="Q267" s="50"/>
      <c r="R267" s="50"/>
    </row>
    <row r="268" customFormat="false" ht="27.75" hidden="false" customHeight="true" outlineLevel="0" collapsed="false">
      <c r="A268" s="48" t="n">
        <v>1</v>
      </c>
      <c r="B268" s="48" t="s">
        <v>11</v>
      </c>
      <c r="C268" s="48"/>
      <c r="D268" s="49" t="s">
        <v>876</v>
      </c>
      <c r="E268" s="89" t="s">
        <v>602</v>
      </c>
      <c r="F268" s="48" t="s">
        <v>877</v>
      </c>
      <c r="G268" s="51" t="s">
        <v>878</v>
      </c>
      <c r="H268" s="50"/>
      <c r="I268" s="50" t="s">
        <v>77</v>
      </c>
      <c r="J268" s="48"/>
      <c r="K268" s="52"/>
      <c r="L268" s="52" t="n">
        <v>46691</v>
      </c>
      <c r="M268" s="58" t="s">
        <v>39</v>
      </c>
      <c r="N268" s="50"/>
      <c r="O268" s="50"/>
      <c r="P268" s="50"/>
      <c r="Q268" s="50"/>
      <c r="R268" s="50"/>
    </row>
    <row r="269" customFormat="false" ht="27.75" hidden="false" customHeight="true" outlineLevel="0" collapsed="false">
      <c r="A269" s="48" t="n">
        <v>1</v>
      </c>
      <c r="B269" s="48" t="s">
        <v>11</v>
      </c>
      <c r="C269" s="48" t="s">
        <v>52</v>
      </c>
      <c r="D269" s="49" t="s">
        <v>879</v>
      </c>
      <c r="E269" s="89" t="s">
        <v>602</v>
      </c>
      <c r="F269" s="48" t="s">
        <v>880</v>
      </c>
      <c r="G269" s="51" t="s">
        <v>881</v>
      </c>
      <c r="H269" s="50"/>
      <c r="I269" s="50" t="s">
        <v>77</v>
      </c>
      <c r="J269" s="48" t="s">
        <v>882</v>
      </c>
      <c r="K269" s="52"/>
      <c r="L269" s="52" t="n">
        <v>46487</v>
      </c>
      <c r="M269" s="58" t="s">
        <v>39</v>
      </c>
      <c r="N269" s="50"/>
      <c r="O269" s="50"/>
      <c r="P269" s="50"/>
      <c r="Q269" s="50"/>
      <c r="R269" s="50"/>
    </row>
    <row r="270" customFormat="false" ht="27.75" hidden="false" customHeight="true" outlineLevel="0" collapsed="false">
      <c r="A270" s="48" t="n">
        <v>1</v>
      </c>
      <c r="B270" s="48" t="s">
        <v>11</v>
      </c>
      <c r="C270" s="48" t="s">
        <v>52</v>
      </c>
      <c r="D270" s="49" t="s">
        <v>879</v>
      </c>
      <c r="E270" s="50"/>
      <c r="F270" s="48" t="s">
        <v>883</v>
      </c>
      <c r="G270" s="51" t="s">
        <v>884</v>
      </c>
      <c r="H270" s="50"/>
      <c r="I270" s="50" t="s">
        <v>77</v>
      </c>
      <c r="J270" s="48" t="s">
        <v>882</v>
      </c>
      <c r="K270" s="52"/>
      <c r="L270" s="52" t="n">
        <v>46419</v>
      </c>
      <c r="M270" s="54" t="s">
        <v>34</v>
      </c>
      <c r="N270" s="50"/>
      <c r="O270" s="50"/>
      <c r="P270" s="50"/>
      <c r="Q270" s="50"/>
      <c r="R270" s="50"/>
    </row>
    <row r="271" customFormat="false" ht="27.75" hidden="false" customHeight="true" outlineLevel="0" collapsed="false">
      <c r="A271" s="48" t="n">
        <v>1</v>
      </c>
      <c r="B271" s="48" t="s">
        <v>11</v>
      </c>
      <c r="C271" s="48" t="s">
        <v>52</v>
      </c>
      <c r="D271" s="49" t="s">
        <v>879</v>
      </c>
      <c r="E271" s="50"/>
      <c r="F271" s="48" t="s">
        <v>885</v>
      </c>
      <c r="G271" s="51" t="s">
        <v>886</v>
      </c>
      <c r="H271" s="50"/>
      <c r="I271" s="50" t="s">
        <v>77</v>
      </c>
      <c r="J271" s="48" t="s">
        <v>882</v>
      </c>
      <c r="K271" s="52"/>
      <c r="L271" s="52" t="n">
        <v>46477</v>
      </c>
      <c r="M271" s="54" t="s">
        <v>34</v>
      </c>
      <c r="N271" s="50"/>
      <c r="O271" s="50"/>
      <c r="P271" s="50"/>
      <c r="Q271" s="50"/>
      <c r="R271" s="50"/>
    </row>
    <row r="272" customFormat="false" ht="27.75" hidden="false" customHeight="true" outlineLevel="0" collapsed="false">
      <c r="A272" s="48" t="n">
        <v>1</v>
      </c>
      <c r="B272" s="48" t="s">
        <v>11</v>
      </c>
      <c r="C272" s="48" t="s">
        <v>52</v>
      </c>
      <c r="D272" s="49" t="s">
        <v>879</v>
      </c>
      <c r="E272" s="50"/>
      <c r="F272" s="48" t="s">
        <v>887</v>
      </c>
      <c r="G272" s="51" t="s">
        <v>888</v>
      </c>
      <c r="H272" s="50"/>
      <c r="I272" s="50" t="s">
        <v>77</v>
      </c>
      <c r="J272" s="48" t="s">
        <v>882</v>
      </c>
      <c r="K272" s="52"/>
      <c r="L272" s="52" t="n">
        <v>46517</v>
      </c>
      <c r="M272" s="54" t="s">
        <v>34</v>
      </c>
      <c r="N272" s="50"/>
      <c r="O272" s="50"/>
      <c r="P272" s="50"/>
      <c r="Q272" s="50"/>
      <c r="R272" s="50"/>
    </row>
    <row r="273" customFormat="false" ht="27.75" hidden="false" customHeight="true" outlineLevel="0" collapsed="false">
      <c r="A273" s="48" t="n">
        <v>1</v>
      </c>
      <c r="B273" s="48" t="s">
        <v>11</v>
      </c>
      <c r="C273" s="48" t="s">
        <v>52</v>
      </c>
      <c r="D273" s="49" t="s">
        <v>879</v>
      </c>
      <c r="E273" s="50"/>
      <c r="F273" s="48" t="s">
        <v>889</v>
      </c>
      <c r="G273" s="51" t="s">
        <v>890</v>
      </c>
      <c r="H273" s="50"/>
      <c r="I273" s="50" t="s">
        <v>77</v>
      </c>
      <c r="J273" s="48" t="s">
        <v>882</v>
      </c>
      <c r="K273" s="52"/>
      <c r="L273" s="52" t="n">
        <v>46522</v>
      </c>
      <c r="M273" s="54" t="s">
        <v>34</v>
      </c>
      <c r="N273" s="50"/>
      <c r="O273" s="50"/>
      <c r="P273" s="50"/>
      <c r="Q273" s="50"/>
      <c r="R273" s="50"/>
    </row>
    <row r="274" customFormat="false" ht="27.75" hidden="false" customHeight="true" outlineLevel="0" collapsed="false">
      <c r="A274" s="48" t="n">
        <v>1</v>
      </c>
      <c r="B274" s="48" t="s">
        <v>11</v>
      </c>
      <c r="C274" s="48" t="s">
        <v>52</v>
      </c>
      <c r="D274" s="49" t="s">
        <v>879</v>
      </c>
      <c r="E274" s="50"/>
      <c r="F274" s="48" t="s">
        <v>891</v>
      </c>
      <c r="G274" s="51" t="s">
        <v>892</v>
      </c>
      <c r="H274" s="50"/>
      <c r="I274" s="50" t="s">
        <v>77</v>
      </c>
      <c r="J274" s="48" t="s">
        <v>882</v>
      </c>
      <c r="K274" s="52"/>
      <c r="L274" s="52" t="n">
        <v>46752</v>
      </c>
      <c r="M274" s="54" t="s">
        <v>34</v>
      </c>
      <c r="N274" s="50"/>
      <c r="O274" s="50"/>
      <c r="P274" s="50"/>
      <c r="Q274" s="50"/>
      <c r="R274" s="50"/>
    </row>
    <row r="275" customFormat="false" ht="27.75" hidden="false" customHeight="true" outlineLevel="0" collapsed="false">
      <c r="A275" s="48" t="n">
        <v>1</v>
      </c>
      <c r="B275" s="48" t="s">
        <v>11</v>
      </c>
      <c r="C275" s="48" t="s">
        <v>52</v>
      </c>
      <c r="D275" s="49" t="s">
        <v>879</v>
      </c>
      <c r="E275" s="50"/>
      <c r="F275" s="48" t="s">
        <v>893</v>
      </c>
      <c r="G275" s="51" t="s">
        <v>894</v>
      </c>
      <c r="H275" s="50"/>
      <c r="I275" s="50" t="s">
        <v>77</v>
      </c>
      <c r="J275" s="48" t="s">
        <v>882</v>
      </c>
      <c r="K275" s="52"/>
      <c r="L275" s="52" t="n">
        <v>46296</v>
      </c>
      <c r="M275" s="54" t="s">
        <v>34</v>
      </c>
      <c r="N275" s="50"/>
      <c r="O275" s="50"/>
      <c r="P275" s="50"/>
      <c r="Q275" s="50"/>
      <c r="R275" s="50"/>
    </row>
    <row r="276" customFormat="false" ht="27.75" hidden="false" customHeight="true" outlineLevel="0" collapsed="false">
      <c r="A276" s="48" t="n">
        <v>1</v>
      </c>
      <c r="B276" s="48" t="s">
        <v>11</v>
      </c>
      <c r="C276" s="48" t="s">
        <v>52</v>
      </c>
      <c r="D276" s="49" t="s">
        <v>879</v>
      </c>
      <c r="E276" s="50"/>
      <c r="F276" s="48" t="s">
        <v>895</v>
      </c>
      <c r="G276" s="51" t="s">
        <v>896</v>
      </c>
      <c r="H276" s="50"/>
      <c r="I276" s="50" t="s">
        <v>77</v>
      </c>
      <c r="J276" s="48" t="s">
        <v>882</v>
      </c>
      <c r="K276" s="52"/>
      <c r="L276" s="52" t="n">
        <v>46341</v>
      </c>
      <c r="M276" s="54" t="s">
        <v>34</v>
      </c>
      <c r="N276" s="50"/>
      <c r="O276" s="50"/>
      <c r="P276" s="50"/>
      <c r="Q276" s="50"/>
      <c r="R276" s="50"/>
    </row>
    <row r="277" customFormat="false" ht="27.75" hidden="false" customHeight="true" outlineLevel="0" collapsed="false">
      <c r="A277" s="48" t="n">
        <v>1</v>
      </c>
      <c r="B277" s="48" t="s">
        <v>11</v>
      </c>
      <c r="C277" s="48" t="s">
        <v>52</v>
      </c>
      <c r="D277" s="49" t="s">
        <v>879</v>
      </c>
      <c r="E277" s="50"/>
      <c r="F277" s="48" t="s">
        <v>897</v>
      </c>
      <c r="G277" s="51" t="s">
        <v>898</v>
      </c>
      <c r="H277" s="50"/>
      <c r="I277" s="50" t="s">
        <v>77</v>
      </c>
      <c r="J277" s="48" t="s">
        <v>882</v>
      </c>
      <c r="K277" s="52"/>
      <c r="L277" s="52" t="n">
        <v>46341</v>
      </c>
      <c r="M277" s="54" t="s">
        <v>34</v>
      </c>
      <c r="N277" s="50"/>
      <c r="O277" s="50"/>
      <c r="P277" s="50"/>
      <c r="Q277" s="50"/>
      <c r="R277" s="50"/>
    </row>
    <row r="278" customFormat="false" ht="42" hidden="false" customHeight="true" outlineLevel="0" collapsed="false">
      <c r="A278" s="48" t="n">
        <v>1</v>
      </c>
      <c r="B278" s="48" t="s">
        <v>11</v>
      </c>
      <c r="C278" s="48" t="s">
        <v>52</v>
      </c>
      <c r="D278" s="49" t="s">
        <v>879</v>
      </c>
      <c r="E278" s="50"/>
      <c r="F278" s="48" t="s">
        <v>899</v>
      </c>
      <c r="G278" s="51" t="s">
        <v>900</v>
      </c>
      <c r="H278" s="50"/>
      <c r="I278" s="50" t="s">
        <v>77</v>
      </c>
      <c r="J278" s="48" t="s">
        <v>882</v>
      </c>
      <c r="K278" s="52"/>
      <c r="L278" s="52" t="n">
        <v>46341</v>
      </c>
      <c r="M278" s="54" t="s">
        <v>34</v>
      </c>
      <c r="N278" s="50" t="s">
        <v>901</v>
      </c>
      <c r="O278" s="50"/>
      <c r="P278" s="50"/>
      <c r="Q278" s="50"/>
      <c r="R278" s="50"/>
    </row>
    <row r="279" customFormat="false" ht="27.75" hidden="false" customHeight="true" outlineLevel="0" collapsed="false">
      <c r="A279" s="48" t="n">
        <v>1</v>
      </c>
      <c r="B279" s="48" t="s">
        <v>11</v>
      </c>
      <c r="C279" s="48" t="s">
        <v>52</v>
      </c>
      <c r="D279" s="49" t="s">
        <v>879</v>
      </c>
      <c r="E279" s="50"/>
      <c r="F279" s="48" t="s">
        <v>902</v>
      </c>
      <c r="G279" s="51" t="s">
        <v>903</v>
      </c>
      <c r="H279" s="50"/>
      <c r="I279" s="50" t="s">
        <v>77</v>
      </c>
      <c r="J279" s="48" t="s">
        <v>882</v>
      </c>
      <c r="K279" s="52"/>
      <c r="L279" s="52" t="n">
        <v>46356</v>
      </c>
      <c r="M279" s="54" t="s">
        <v>34</v>
      </c>
      <c r="N279" s="50"/>
      <c r="O279" s="50"/>
      <c r="P279" s="50"/>
      <c r="Q279" s="50"/>
      <c r="R279" s="50"/>
    </row>
    <row r="280" customFormat="false" ht="27.75" hidden="false" customHeight="true" outlineLevel="0" collapsed="false">
      <c r="A280" s="91" t="n">
        <v>1</v>
      </c>
      <c r="B280" s="91" t="s">
        <v>11</v>
      </c>
      <c r="C280" s="91" t="s">
        <v>52</v>
      </c>
      <c r="D280" s="107" t="s">
        <v>879</v>
      </c>
      <c r="E280" s="91"/>
      <c r="F280" s="91" t="s">
        <v>85</v>
      </c>
      <c r="G280" s="92" t="s">
        <v>904</v>
      </c>
      <c r="H280" s="93" t="s">
        <v>905</v>
      </c>
      <c r="I280" s="93" t="s">
        <v>77</v>
      </c>
      <c r="J280" s="93" t="s">
        <v>882</v>
      </c>
      <c r="K280" s="94"/>
      <c r="L280" s="94" t="n">
        <v>46327</v>
      </c>
      <c r="M280" s="95" t="s">
        <v>39</v>
      </c>
      <c r="N280" s="50" t="s">
        <v>92</v>
      </c>
      <c r="O280" s="50"/>
      <c r="P280" s="50"/>
      <c r="Q280" s="50"/>
      <c r="R280" s="50"/>
    </row>
    <row r="281" customFormat="false" ht="27.75" hidden="false" customHeight="true" outlineLevel="0" collapsed="false">
      <c r="A281" s="91" t="n">
        <v>1</v>
      </c>
      <c r="B281" s="91" t="s">
        <v>11</v>
      </c>
      <c r="C281" s="91" t="s">
        <v>52</v>
      </c>
      <c r="D281" s="107" t="s">
        <v>879</v>
      </c>
      <c r="E281" s="91"/>
      <c r="F281" s="91" t="s">
        <v>85</v>
      </c>
      <c r="G281" s="92" t="s">
        <v>906</v>
      </c>
      <c r="H281" s="93" t="s">
        <v>907</v>
      </c>
      <c r="I281" s="93" t="s">
        <v>77</v>
      </c>
      <c r="J281" s="93" t="s">
        <v>882</v>
      </c>
      <c r="K281" s="94"/>
      <c r="L281" s="94" t="n">
        <v>46296</v>
      </c>
      <c r="M281" s="95" t="s">
        <v>39</v>
      </c>
      <c r="N281" s="50" t="s">
        <v>92</v>
      </c>
      <c r="O281" s="50"/>
      <c r="P281" s="50"/>
      <c r="Q281" s="50"/>
      <c r="R281" s="50"/>
    </row>
    <row r="282" customFormat="false" ht="27.75" hidden="false" customHeight="true" outlineLevel="0" collapsed="false">
      <c r="A282" s="91" t="n">
        <v>1</v>
      </c>
      <c r="B282" s="91" t="s">
        <v>11</v>
      </c>
      <c r="C282" s="91" t="s">
        <v>52</v>
      </c>
      <c r="D282" s="107" t="s">
        <v>879</v>
      </c>
      <c r="E282" s="91"/>
      <c r="F282" s="91" t="s">
        <v>85</v>
      </c>
      <c r="G282" s="92" t="s">
        <v>908</v>
      </c>
      <c r="H282" s="93" t="s">
        <v>909</v>
      </c>
      <c r="I282" s="93" t="s">
        <v>77</v>
      </c>
      <c r="J282" s="93" t="s">
        <v>882</v>
      </c>
      <c r="K282" s="94"/>
      <c r="L282" s="94" t="n">
        <v>46280</v>
      </c>
      <c r="M282" s="95" t="s">
        <v>39</v>
      </c>
      <c r="N282" s="50" t="s">
        <v>92</v>
      </c>
      <c r="O282" s="50"/>
      <c r="P282" s="50"/>
      <c r="Q282" s="50" t="s">
        <v>630</v>
      </c>
      <c r="R282" s="50"/>
    </row>
    <row r="283" customFormat="false" ht="27.75" hidden="false" customHeight="true" outlineLevel="0" collapsed="false">
      <c r="A283" s="91" t="n">
        <v>1</v>
      </c>
      <c r="B283" s="91" t="s">
        <v>11</v>
      </c>
      <c r="C283" s="91" t="s">
        <v>52</v>
      </c>
      <c r="D283" s="107" t="s">
        <v>879</v>
      </c>
      <c r="E283" s="91"/>
      <c r="F283" s="91" t="s">
        <v>85</v>
      </c>
      <c r="G283" s="92" t="s">
        <v>910</v>
      </c>
      <c r="H283" s="93" t="s">
        <v>911</v>
      </c>
      <c r="I283" s="93" t="s">
        <v>77</v>
      </c>
      <c r="J283" s="93" t="s">
        <v>882</v>
      </c>
      <c r="K283" s="94"/>
      <c r="L283" s="94" t="n">
        <v>46296</v>
      </c>
      <c r="M283" s="95" t="s">
        <v>39</v>
      </c>
      <c r="N283" s="50" t="s">
        <v>92</v>
      </c>
      <c r="O283" s="50"/>
      <c r="P283" s="50"/>
      <c r="Q283" s="50" t="s">
        <v>630</v>
      </c>
      <c r="R283" s="50"/>
    </row>
    <row r="284" customFormat="false" ht="27.75" hidden="false" customHeight="true" outlineLevel="0" collapsed="false">
      <c r="A284" s="91" t="n">
        <v>1</v>
      </c>
      <c r="B284" s="91" t="s">
        <v>11</v>
      </c>
      <c r="C284" s="91" t="s">
        <v>52</v>
      </c>
      <c r="D284" s="107" t="s">
        <v>879</v>
      </c>
      <c r="E284" s="91"/>
      <c r="F284" s="91" t="s">
        <v>85</v>
      </c>
      <c r="G284" s="92" t="s">
        <v>912</v>
      </c>
      <c r="H284" s="93" t="s">
        <v>913</v>
      </c>
      <c r="I284" s="93" t="s">
        <v>77</v>
      </c>
      <c r="J284" s="93" t="s">
        <v>882</v>
      </c>
      <c r="K284" s="94"/>
      <c r="L284" s="94" t="n">
        <v>46357</v>
      </c>
      <c r="M284" s="95" t="s">
        <v>39</v>
      </c>
      <c r="N284" s="50" t="s">
        <v>92</v>
      </c>
      <c r="O284" s="50"/>
      <c r="P284" s="50"/>
      <c r="Q284" s="50"/>
      <c r="R284" s="50"/>
    </row>
    <row r="285" customFormat="false" ht="27.75" hidden="false" customHeight="true" outlineLevel="0" collapsed="false">
      <c r="A285" s="91" t="n">
        <v>1</v>
      </c>
      <c r="B285" s="91" t="s">
        <v>11</v>
      </c>
      <c r="C285" s="91" t="s">
        <v>52</v>
      </c>
      <c r="D285" s="107" t="s">
        <v>879</v>
      </c>
      <c r="E285" s="91"/>
      <c r="F285" s="91" t="s">
        <v>85</v>
      </c>
      <c r="G285" s="92" t="s">
        <v>914</v>
      </c>
      <c r="H285" s="93" t="s">
        <v>915</v>
      </c>
      <c r="I285" s="93" t="s">
        <v>77</v>
      </c>
      <c r="J285" s="93" t="s">
        <v>882</v>
      </c>
      <c r="K285" s="94"/>
      <c r="L285" s="94" t="n">
        <v>46371</v>
      </c>
      <c r="M285" s="95" t="s">
        <v>39</v>
      </c>
      <c r="N285" s="50" t="s">
        <v>92</v>
      </c>
      <c r="O285" s="50"/>
      <c r="P285" s="50"/>
      <c r="Q285" s="50"/>
      <c r="R285" s="50"/>
    </row>
    <row r="286" customFormat="false" ht="27.75" hidden="false" customHeight="true" outlineLevel="0" collapsed="false">
      <c r="A286" s="91" t="n">
        <v>1</v>
      </c>
      <c r="B286" s="91" t="s">
        <v>11</v>
      </c>
      <c r="C286" s="91" t="s">
        <v>52</v>
      </c>
      <c r="D286" s="107" t="s">
        <v>879</v>
      </c>
      <c r="E286" s="91"/>
      <c r="F286" s="91" t="s">
        <v>85</v>
      </c>
      <c r="G286" s="92" t="s">
        <v>916</v>
      </c>
      <c r="H286" s="93" t="s">
        <v>917</v>
      </c>
      <c r="I286" s="93" t="s">
        <v>77</v>
      </c>
      <c r="J286" s="93" t="s">
        <v>882</v>
      </c>
      <c r="K286" s="94"/>
      <c r="L286" s="94" t="n">
        <v>46402</v>
      </c>
      <c r="M286" s="95" t="s">
        <v>39</v>
      </c>
      <c r="N286" s="50" t="s">
        <v>92</v>
      </c>
      <c r="O286" s="50"/>
      <c r="P286" s="50"/>
      <c r="Q286" s="50"/>
      <c r="R286" s="50"/>
    </row>
    <row r="287" customFormat="false" ht="15.75" hidden="false" customHeight="false" outlineLevel="0" collapsed="false">
      <c r="A287" s="108" t="n">
        <v>3</v>
      </c>
      <c r="B287" s="108" t="s">
        <v>97</v>
      </c>
      <c r="C287" s="108" t="s">
        <v>52</v>
      </c>
      <c r="D287" s="108" t="s">
        <v>879</v>
      </c>
      <c r="E287" s="109" t="s">
        <v>918</v>
      </c>
      <c r="F287" s="109" t="s">
        <v>919</v>
      </c>
      <c r="G287" s="106" t="s">
        <v>647</v>
      </c>
      <c r="H287" s="106" t="s">
        <v>648</v>
      </c>
      <c r="I287" s="109" t="s">
        <v>101</v>
      </c>
      <c r="J287" s="110" t="s">
        <v>920</v>
      </c>
      <c r="K287" s="111"/>
      <c r="L287" s="111" t="n">
        <v>46224</v>
      </c>
      <c r="M287" s="112" t="s">
        <v>31</v>
      </c>
      <c r="N287" s="113" t="s">
        <v>650</v>
      </c>
      <c r="O287" s="113"/>
      <c r="P287" s="113"/>
      <c r="Q287" s="113"/>
      <c r="R287" s="113"/>
    </row>
    <row r="288" customFormat="false" ht="15.75" hidden="false" customHeight="false" outlineLevel="0" collapsed="false">
      <c r="A288" s="108" t="n">
        <v>3</v>
      </c>
      <c r="B288" s="108" t="s">
        <v>97</v>
      </c>
      <c r="C288" s="108" t="s">
        <v>52</v>
      </c>
      <c r="D288" s="108" t="s">
        <v>879</v>
      </c>
      <c r="E288" s="109" t="s">
        <v>918</v>
      </c>
      <c r="F288" s="109" t="s">
        <v>921</v>
      </c>
      <c r="G288" s="106" t="s">
        <v>922</v>
      </c>
      <c r="H288" s="106" t="s">
        <v>648</v>
      </c>
      <c r="I288" s="109"/>
      <c r="J288" s="110" t="s">
        <v>920</v>
      </c>
      <c r="K288" s="114" t="s">
        <v>923</v>
      </c>
      <c r="L288" s="114" t="s">
        <v>923</v>
      </c>
      <c r="M288" s="112" t="s">
        <v>39</v>
      </c>
      <c r="N288" s="113" t="s">
        <v>650</v>
      </c>
      <c r="O288" s="113"/>
      <c r="P288" s="113"/>
      <c r="Q288" s="113"/>
      <c r="R288" s="113"/>
    </row>
    <row r="289" customFormat="false" ht="15.75" hidden="false" customHeight="false" outlineLevel="0" collapsed="false">
      <c r="A289" s="108" t="n">
        <v>3</v>
      </c>
      <c r="B289" s="108" t="s">
        <v>97</v>
      </c>
      <c r="C289" s="108" t="s">
        <v>52</v>
      </c>
      <c r="D289" s="108" t="s">
        <v>879</v>
      </c>
      <c r="E289" s="109" t="s">
        <v>918</v>
      </c>
      <c r="F289" s="109" t="s">
        <v>924</v>
      </c>
      <c r="G289" s="106" t="s">
        <v>925</v>
      </c>
      <c r="H289" s="106" t="s">
        <v>648</v>
      </c>
      <c r="I289" s="109"/>
      <c r="J289" s="110" t="s">
        <v>920</v>
      </c>
      <c r="K289" s="114" t="s">
        <v>923</v>
      </c>
      <c r="L289" s="114" t="s">
        <v>923</v>
      </c>
      <c r="M289" s="112" t="s">
        <v>39</v>
      </c>
      <c r="N289" s="113" t="s">
        <v>650</v>
      </c>
      <c r="O289" s="113"/>
      <c r="P289" s="113"/>
      <c r="Q289" s="113"/>
      <c r="R289" s="113"/>
    </row>
    <row r="290" customFormat="false" ht="30" hidden="false" customHeight="true" outlineLevel="0" collapsed="false">
      <c r="A290" s="108" t="n">
        <v>3</v>
      </c>
      <c r="B290" s="108" t="s">
        <v>97</v>
      </c>
      <c r="C290" s="108" t="s">
        <v>52</v>
      </c>
      <c r="D290" s="108" t="s">
        <v>879</v>
      </c>
      <c r="E290" s="109" t="s">
        <v>918</v>
      </c>
      <c r="F290" s="109" t="s">
        <v>926</v>
      </c>
      <c r="G290" s="106" t="s">
        <v>927</v>
      </c>
      <c r="H290" s="106" t="s">
        <v>928</v>
      </c>
      <c r="I290" s="109"/>
      <c r="J290" s="110" t="s">
        <v>882</v>
      </c>
      <c r="K290" s="114" t="n">
        <v>46266</v>
      </c>
      <c r="L290" s="114" t="n">
        <v>46318</v>
      </c>
      <c r="M290" s="112" t="s">
        <v>39</v>
      </c>
      <c r="N290" s="113" t="s">
        <v>929</v>
      </c>
      <c r="O290" s="113"/>
      <c r="P290" s="113"/>
      <c r="Q290" s="113"/>
      <c r="R290" s="113"/>
    </row>
    <row r="291" customFormat="false" ht="15.75" hidden="false" customHeight="false" outlineLevel="0" collapsed="false">
      <c r="A291" s="108" t="n">
        <v>2</v>
      </c>
      <c r="B291" s="108" t="s">
        <v>97</v>
      </c>
      <c r="C291" s="108" t="s">
        <v>52</v>
      </c>
      <c r="D291" s="108" t="s">
        <v>879</v>
      </c>
      <c r="E291" s="109" t="s">
        <v>918</v>
      </c>
      <c r="F291" s="109" t="s">
        <v>930</v>
      </c>
      <c r="G291" s="106" t="s">
        <v>931</v>
      </c>
      <c r="H291" s="106" t="s">
        <v>932</v>
      </c>
      <c r="I291" s="109"/>
      <c r="J291" s="110" t="s">
        <v>882</v>
      </c>
      <c r="K291" s="114" t="n">
        <v>46328</v>
      </c>
      <c r="L291" s="114" t="n">
        <v>46423</v>
      </c>
      <c r="M291" s="112" t="s">
        <v>39</v>
      </c>
      <c r="N291" s="113" t="s">
        <v>933</v>
      </c>
      <c r="O291" s="113"/>
      <c r="P291" s="113"/>
      <c r="Q291" s="113"/>
      <c r="R291" s="113"/>
    </row>
    <row r="292" customFormat="false" ht="60" hidden="false" customHeight="true" outlineLevel="0" collapsed="false">
      <c r="A292" s="115" t="n">
        <v>2</v>
      </c>
      <c r="B292" s="115" t="s">
        <v>97</v>
      </c>
      <c r="C292" s="115" t="s">
        <v>52</v>
      </c>
      <c r="D292" s="115" t="s">
        <v>879</v>
      </c>
      <c r="E292" s="116" t="s">
        <v>918</v>
      </c>
      <c r="F292" s="116" t="s">
        <v>934</v>
      </c>
      <c r="G292" s="117" t="s">
        <v>935</v>
      </c>
      <c r="H292" s="117" t="s">
        <v>936</v>
      </c>
      <c r="I292" s="116" t="s">
        <v>101</v>
      </c>
      <c r="J292" s="118" t="s">
        <v>882</v>
      </c>
      <c r="K292" s="119" t="n">
        <v>46238</v>
      </c>
      <c r="L292" s="119" t="n">
        <v>46295</v>
      </c>
      <c r="M292" s="120" t="s">
        <v>34</v>
      </c>
      <c r="N292" s="61" t="s">
        <v>937</v>
      </c>
      <c r="O292" s="61"/>
      <c r="P292" s="61"/>
      <c r="Q292" s="61"/>
      <c r="R292" s="61"/>
    </row>
    <row r="293" customFormat="false" ht="30" hidden="false" customHeight="true" outlineLevel="0" collapsed="false">
      <c r="A293" s="115" t="n">
        <v>2</v>
      </c>
      <c r="B293" s="115" t="s">
        <v>97</v>
      </c>
      <c r="C293" s="115" t="s">
        <v>52</v>
      </c>
      <c r="D293" s="115" t="s">
        <v>879</v>
      </c>
      <c r="E293" s="116" t="s">
        <v>918</v>
      </c>
      <c r="F293" s="116" t="s">
        <v>938</v>
      </c>
      <c r="G293" s="117" t="s">
        <v>939</v>
      </c>
      <c r="H293" s="117" t="s">
        <v>940</v>
      </c>
      <c r="I293" s="116" t="s">
        <v>101</v>
      </c>
      <c r="J293" s="118" t="s">
        <v>882</v>
      </c>
      <c r="K293" s="119" t="n">
        <v>46266</v>
      </c>
      <c r="L293" s="119" t="n">
        <v>46507</v>
      </c>
      <c r="M293" s="120" t="s">
        <v>39</v>
      </c>
      <c r="N293" s="61" t="s">
        <v>941</v>
      </c>
      <c r="O293" s="61"/>
      <c r="P293" s="61"/>
      <c r="Q293" s="61"/>
      <c r="R293" s="61"/>
    </row>
    <row r="294" customFormat="false" ht="30" hidden="false" customHeight="true" outlineLevel="0" collapsed="false">
      <c r="A294" s="115" t="n">
        <v>2</v>
      </c>
      <c r="B294" s="115" t="s">
        <v>97</v>
      </c>
      <c r="C294" s="115" t="s">
        <v>52</v>
      </c>
      <c r="D294" s="115" t="s">
        <v>879</v>
      </c>
      <c r="E294" s="116" t="s">
        <v>918</v>
      </c>
      <c r="F294" s="116" t="s">
        <v>942</v>
      </c>
      <c r="G294" s="117" t="s">
        <v>943</v>
      </c>
      <c r="H294" s="117" t="s">
        <v>944</v>
      </c>
      <c r="I294" s="116" t="s">
        <v>101</v>
      </c>
      <c r="J294" s="118" t="s">
        <v>882</v>
      </c>
      <c r="K294" s="119" t="n">
        <v>46300</v>
      </c>
      <c r="L294" s="119" t="n">
        <v>46395</v>
      </c>
      <c r="M294" s="120" t="s">
        <v>39</v>
      </c>
      <c r="N294" s="61" t="s">
        <v>945</v>
      </c>
      <c r="O294" s="61"/>
      <c r="P294" s="61"/>
      <c r="Q294" s="61"/>
      <c r="R294" s="61"/>
    </row>
    <row r="295" customFormat="false" ht="45" hidden="false" customHeight="true" outlineLevel="0" collapsed="false">
      <c r="A295" s="115" t="n">
        <v>2</v>
      </c>
      <c r="B295" s="115" t="s">
        <v>97</v>
      </c>
      <c r="C295" s="115" t="s">
        <v>52</v>
      </c>
      <c r="D295" s="115" t="s">
        <v>879</v>
      </c>
      <c r="E295" s="116" t="s">
        <v>918</v>
      </c>
      <c r="F295" s="116" t="s">
        <v>946</v>
      </c>
      <c r="G295" s="117" t="s">
        <v>947</v>
      </c>
      <c r="H295" s="117" t="s">
        <v>948</v>
      </c>
      <c r="I295" s="116" t="s">
        <v>101</v>
      </c>
      <c r="J295" s="118" t="s">
        <v>882</v>
      </c>
      <c r="K295" s="119" t="n">
        <v>46237</v>
      </c>
      <c r="L295" s="119" t="n">
        <v>46416</v>
      </c>
      <c r="M295" s="120" t="s">
        <v>34</v>
      </c>
      <c r="N295" s="61" t="s">
        <v>949</v>
      </c>
      <c r="O295" s="61"/>
      <c r="P295" s="61"/>
      <c r="Q295" s="61"/>
      <c r="R295" s="61"/>
    </row>
    <row r="296" customFormat="false" ht="30" hidden="false" customHeight="true" outlineLevel="0" collapsed="false">
      <c r="A296" s="115" t="n">
        <v>2</v>
      </c>
      <c r="B296" s="59" t="s">
        <v>97</v>
      </c>
      <c r="C296" s="59" t="s">
        <v>52</v>
      </c>
      <c r="D296" s="59" t="s">
        <v>879</v>
      </c>
      <c r="E296" s="60" t="s">
        <v>918</v>
      </c>
      <c r="F296" s="116" t="s">
        <v>950</v>
      </c>
      <c r="G296" s="61" t="s">
        <v>951</v>
      </c>
      <c r="H296" s="61" t="s">
        <v>952</v>
      </c>
      <c r="I296" s="60" t="s">
        <v>101</v>
      </c>
      <c r="J296" s="62" t="s">
        <v>882</v>
      </c>
      <c r="K296" s="119" t="n">
        <v>46258</v>
      </c>
      <c r="L296" s="119" t="n">
        <v>46416</v>
      </c>
      <c r="M296" s="121" t="s">
        <v>34</v>
      </c>
      <c r="N296" s="61" t="s">
        <v>953</v>
      </c>
      <c r="O296" s="61"/>
      <c r="P296" s="61"/>
      <c r="Q296" s="61"/>
      <c r="R296" s="61"/>
    </row>
    <row r="297" customFormat="false" ht="60" hidden="false" customHeight="true" outlineLevel="0" collapsed="false">
      <c r="A297" s="115" t="n">
        <v>2</v>
      </c>
      <c r="B297" s="59" t="s">
        <v>97</v>
      </c>
      <c r="C297" s="59" t="s">
        <v>52</v>
      </c>
      <c r="D297" s="59" t="s">
        <v>879</v>
      </c>
      <c r="E297" s="60" t="s">
        <v>918</v>
      </c>
      <c r="F297" s="60" t="s">
        <v>954</v>
      </c>
      <c r="G297" s="61" t="s">
        <v>955</v>
      </c>
      <c r="H297" s="61" t="s">
        <v>956</v>
      </c>
      <c r="I297" s="60" t="s">
        <v>101</v>
      </c>
      <c r="J297" s="62" t="s">
        <v>882</v>
      </c>
      <c r="K297" s="63" t="n">
        <v>46237</v>
      </c>
      <c r="L297" s="63" t="n">
        <v>46416</v>
      </c>
      <c r="M297" s="121" t="s">
        <v>34</v>
      </c>
      <c r="N297" s="61" t="s">
        <v>957</v>
      </c>
      <c r="O297" s="61"/>
      <c r="P297" s="61"/>
      <c r="Q297" s="61"/>
      <c r="R297" s="61"/>
    </row>
    <row r="298" customFormat="false" ht="30" hidden="false" customHeight="true" outlineLevel="0" collapsed="false">
      <c r="A298" s="115" t="n">
        <v>2</v>
      </c>
      <c r="B298" s="59" t="s">
        <v>97</v>
      </c>
      <c r="C298" s="59" t="s">
        <v>52</v>
      </c>
      <c r="D298" s="59" t="s">
        <v>879</v>
      </c>
      <c r="E298" s="60" t="s">
        <v>918</v>
      </c>
      <c r="F298" s="60" t="s">
        <v>958</v>
      </c>
      <c r="G298" s="61" t="s">
        <v>959</v>
      </c>
      <c r="H298" s="61" t="s">
        <v>960</v>
      </c>
      <c r="I298" s="60" t="s">
        <v>101</v>
      </c>
      <c r="J298" s="62" t="s">
        <v>882</v>
      </c>
      <c r="K298" s="63" t="n">
        <v>46223</v>
      </c>
      <c r="L298" s="63" t="n">
        <v>46506</v>
      </c>
      <c r="M298" s="121" t="s">
        <v>34</v>
      </c>
      <c r="N298" s="61" t="s">
        <v>961</v>
      </c>
      <c r="O298" s="61"/>
      <c r="P298" s="61"/>
      <c r="Q298" s="61"/>
      <c r="R298" s="61"/>
    </row>
    <row r="299" customFormat="false" ht="30" hidden="false" customHeight="true" outlineLevel="0" collapsed="false">
      <c r="A299" s="115" t="n">
        <v>2</v>
      </c>
      <c r="B299" s="59" t="s">
        <v>97</v>
      </c>
      <c r="C299" s="59" t="s">
        <v>52</v>
      </c>
      <c r="D299" s="59" t="s">
        <v>879</v>
      </c>
      <c r="E299" s="60" t="s">
        <v>918</v>
      </c>
      <c r="F299" s="60" t="s">
        <v>962</v>
      </c>
      <c r="G299" s="61" t="s">
        <v>963</v>
      </c>
      <c r="H299" s="61" t="s">
        <v>964</v>
      </c>
      <c r="I299" s="60" t="s">
        <v>101</v>
      </c>
      <c r="J299" s="62" t="s">
        <v>882</v>
      </c>
      <c r="K299" s="63" t="n">
        <v>46296</v>
      </c>
      <c r="L299" s="63" t="n">
        <v>46417</v>
      </c>
      <c r="M299" s="121" t="s">
        <v>39</v>
      </c>
      <c r="N299" s="61" t="s">
        <v>965</v>
      </c>
      <c r="O299" s="61"/>
      <c r="P299" s="61"/>
      <c r="Q299" s="61"/>
      <c r="R299" s="61"/>
    </row>
    <row r="300" customFormat="false" ht="30" hidden="false" customHeight="true" outlineLevel="0" collapsed="false">
      <c r="A300" s="108" t="n">
        <v>3</v>
      </c>
      <c r="B300" s="108" t="s">
        <v>97</v>
      </c>
      <c r="C300" s="108" t="s">
        <v>52</v>
      </c>
      <c r="D300" s="108" t="s">
        <v>879</v>
      </c>
      <c r="E300" s="109" t="s">
        <v>918</v>
      </c>
      <c r="F300" s="109" t="s">
        <v>966</v>
      </c>
      <c r="G300" s="106" t="s">
        <v>967</v>
      </c>
      <c r="H300" s="106" t="s">
        <v>968</v>
      </c>
      <c r="I300" s="109" t="s">
        <v>101</v>
      </c>
      <c r="J300" s="110" t="s">
        <v>882</v>
      </c>
      <c r="K300" s="114" t="n">
        <v>46388</v>
      </c>
      <c r="L300" s="114" t="n">
        <v>46506</v>
      </c>
      <c r="M300" s="112" t="s">
        <v>39</v>
      </c>
      <c r="N300" s="113" t="s">
        <v>969</v>
      </c>
      <c r="O300" s="113"/>
      <c r="P300" s="113"/>
      <c r="Q300" s="113"/>
      <c r="R300" s="113"/>
    </row>
    <row r="301" customFormat="false" ht="45" hidden="false" customHeight="true" outlineLevel="0" collapsed="false">
      <c r="A301" s="122" t="n">
        <v>2</v>
      </c>
      <c r="B301" s="123" t="s">
        <v>97</v>
      </c>
      <c r="C301" s="123" t="s">
        <v>52</v>
      </c>
      <c r="D301" s="123" t="s">
        <v>879</v>
      </c>
      <c r="E301" s="124" t="s">
        <v>970</v>
      </c>
      <c r="F301" s="124" t="s">
        <v>971</v>
      </c>
      <c r="G301" s="125" t="s">
        <v>972</v>
      </c>
      <c r="H301" s="125" t="s">
        <v>973</v>
      </c>
      <c r="I301" s="60" t="s">
        <v>101</v>
      </c>
      <c r="J301" s="126" t="s">
        <v>882</v>
      </c>
      <c r="K301" s="127" t="n">
        <v>46204</v>
      </c>
      <c r="L301" s="127" t="n">
        <v>46506</v>
      </c>
      <c r="M301" s="121" t="s">
        <v>34</v>
      </c>
      <c r="N301" s="125" t="s">
        <v>974</v>
      </c>
      <c r="O301" s="125"/>
      <c r="P301" s="125"/>
      <c r="Q301" s="125"/>
      <c r="R301" s="125"/>
    </row>
    <row r="302" customFormat="false" ht="30" hidden="false" customHeight="true" outlineLevel="0" collapsed="false">
      <c r="A302" s="108" t="n">
        <v>3</v>
      </c>
      <c r="B302" s="108" t="s">
        <v>97</v>
      </c>
      <c r="C302" s="108" t="s">
        <v>52</v>
      </c>
      <c r="D302" s="108" t="s">
        <v>879</v>
      </c>
      <c r="E302" s="109" t="s">
        <v>970</v>
      </c>
      <c r="F302" s="109" t="s">
        <v>975</v>
      </c>
      <c r="G302" s="106" t="s">
        <v>976</v>
      </c>
      <c r="H302" s="106" t="s">
        <v>977</v>
      </c>
      <c r="I302" s="109" t="s">
        <v>101</v>
      </c>
      <c r="J302" s="110" t="s">
        <v>882</v>
      </c>
      <c r="K302" s="111" t="n">
        <v>46251</v>
      </c>
      <c r="L302" s="111" t="n">
        <v>46417</v>
      </c>
      <c r="M302" s="112" t="s">
        <v>39</v>
      </c>
      <c r="N302" s="113" t="s">
        <v>978</v>
      </c>
      <c r="O302" s="113"/>
      <c r="P302" s="113"/>
      <c r="Q302" s="113"/>
      <c r="R302" s="113"/>
    </row>
    <row r="303" customFormat="false" ht="15.75" hidden="false" customHeight="false" outlineLevel="0" collapsed="false">
      <c r="A303" s="108" t="n">
        <v>3</v>
      </c>
      <c r="B303" s="108" t="s">
        <v>97</v>
      </c>
      <c r="C303" s="108" t="s">
        <v>52</v>
      </c>
      <c r="D303" s="108" t="s">
        <v>879</v>
      </c>
      <c r="E303" s="109" t="s">
        <v>970</v>
      </c>
      <c r="F303" s="109" t="s">
        <v>979</v>
      </c>
      <c r="G303" s="106" t="s">
        <v>647</v>
      </c>
      <c r="H303" s="106" t="s">
        <v>648</v>
      </c>
      <c r="I303" s="109" t="s">
        <v>101</v>
      </c>
      <c r="J303" s="110" t="s">
        <v>882</v>
      </c>
      <c r="K303" s="111" t="n">
        <v>46224</v>
      </c>
      <c r="L303" s="111" t="n">
        <v>46506</v>
      </c>
      <c r="M303" s="112" t="s">
        <v>31</v>
      </c>
      <c r="N303" s="113" t="s">
        <v>650</v>
      </c>
      <c r="O303" s="113"/>
      <c r="P303" s="113"/>
      <c r="Q303" s="113"/>
      <c r="R303" s="113"/>
    </row>
    <row r="304" customFormat="false" ht="15.75" hidden="false" customHeight="false" outlineLevel="0" collapsed="false">
      <c r="A304" s="108" t="n">
        <v>3</v>
      </c>
      <c r="B304" s="108" t="s">
        <v>97</v>
      </c>
      <c r="C304" s="108" t="s">
        <v>52</v>
      </c>
      <c r="D304" s="108" t="s">
        <v>879</v>
      </c>
      <c r="E304" s="109" t="s">
        <v>970</v>
      </c>
      <c r="F304" s="109" t="s">
        <v>980</v>
      </c>
      <c r="G304" s="106" t="s">
        <v>922</v>
      </c>
      <c r="H304" s="106" t="s">
        <v>648</v>
      </c>
      <c r="I304" s="109" t="s">
        <v>101</v>
      </c>
      <c r="J304" s="110" t="s">
        <v>882</v>
      </c>
      <c r="K304" s="114" t="s">
        <v>923</v>
      </c>
      <c r="L304" s="114" t="s">
        <v>923</v>
      </c>
      <c r="M304" s="112" t="s">
        <v>39</v>
      </c>
      <c r="N304" s="113" t="s">
        <v>650</v>
      </c>
      <c r="O304" s="113"/>
      <c r="P304" s="113"/>
      <c r="Q304" s="113"/>
      <c r="R304" s="113"/>
    </row>
    <row r="305" customFormat="false" ht="45" hidden="false" customHeight="true" outlineLevel="0" collapsed="false">
      <c r="A305" s="123" t="n">
        <v>2</v>
      </c>
      <c r="B305" s="123" t="s">
        <v>97</v>
      </c>
      <c r="C305" s="123" t="s">
        <v>52</v>
      </c>
      <c r="D305" s="123" t="s">
        <v>879</v>
      </c>
      <c r="E305" s="124" t="s">
        <v>970</v>
      </c>
      <c r="F305" s="128" t="s">
        <v>981</v>
      </c>
      <c r="G305" s="129" t="s">
        <v>982</v>
      </c>
      <c r="H305" s="129" t="s">
        <v>983</v>
      </c>
      <c r="I305" s="116" t="s">
        <v>101</v>
      </c>
      <c r="J305" s="130" t="s">
        <v>984</v>
      </c>
      <c r="K305" s="131" t="n">
        <v>46223</v>
      </c>
      <c r="L305" s="132" t="s">
        <v>923</v>
      </c>
      <c r="M305" s="133" t="s">
        <v>34</v>
      </c>
      <c r="N305" s="113" t="s">
        <v>985</v>
      </c>
      <c r="O305" s="113"/>
      <c r="P305" s="113"/>
      <c r="Q305" s="113"/>
      <c r="R305" s="113"/>
    </row>
    <row r="306" customFormat="false" ht="45" hidden="false" customHeight="true" outlineLevel="0" collapsed="false">
      <c r="A306" s="59" t="n">
        <v>2</v>
      </c>
      <c r="B306" s="59" t="s">
        <v>97</v>
      </c>
      <c r="C306" s="59" t="s">
        <v>52</v>
      </c>
      <c r="D306" s="59" t="s">
        <v>879</v>
      </c>
      <c r="E306" s="60" t="s">
        <v>970</v>
      </c>
      <c r="F306" s="116" t="s">
        <v>986</v>
      </c>
      <c r="G306" s="117" t="s">
        <v>987</v>
      </c>
      <c r="H306" s="117" t="s">
        <v>988</v>
      </c>
      <c r="I306" s="116" t="s">
        <v>101</v>
      </c>
      <c r="J306" s="118" t="s">
        <v>882</v>
      </c>
      <c r="K306" s="119" t="n">
        <v>46223</v>
      </c>
      <c r="L306" s="119" t="n">
        <v>46416</v>
      </c>
      <c r="M306" s="121" t="s">
        <v>34</v>
      </c>
      <c r="N306" s="61" t="s">
        <v>989</v>
      </c>
      <c r="O306" s="61"/>
      <c r="P306" s="61"/>
      <c r="Q306" s="61"/>
      <c r="R306" s="61"/>
    </row>
    <row r="307" customFormat="false" ht="30" hidden="false" customHeight="true" outlineLevel="0" collapsed="false">
      <c r="A307" s="59" t="n">
        <v>2</v>
      </c>
      <c r="B307" s="59" t="s">
        <v>97</v>
      </c>
      <c r="C307" s="59" t="s">
        <v>52</v>
      </c>
      <c r="D307" s="59" t="s">
        <v>879</v>
      </c>
      <c r="E307" s="60" t="s">
        <v>970</v>
      </c>
      <c r="F307" s="116" t="s">
        <v>990</v>
      </c>
      <c r="G307" s="117" t="s">
        <v>991</v>
      </c>
      <c r="H307" s="117" t="s">
        <v>992</v>
      </c>
      <c r="I307" s="116" t="s">
        <v>101</v>
      </c>
      <c r="J307" s="118" t="s">
        <v>882</v>
      </c>
      <c r="K307" s="119" t="n">
        <v>46223</v>
      </c>
      <c r="L307" s="119" t="n">
        <v>46416</v>
      </c>
      <c r="M307" s="121" t="s">
        <v>34</v>
      </c>
      <c r="N307" s="61" t="s">
        <v>993</v>
      </c>
      <c r="O307" s="61"/>
      <c r="P307" s="61"/>
      <c r="Q307" s="61"/>
      <c r="R307" s="61"/>
    </row>
    <row r="308" customFormat="false" ht="45" hidden="false" customHeight="true" outlineLevel="0" collapsed="false">
      <c r="A308" s="59" t="n">
        <v>2</v>
      </c>
      <c r="B308" s="59" t="s">
        <v>97</v>
      </c>
      <c r="C308" s="59" t="s">
        <v>52</v>
      </c>
      <c r="D308" s="59" t="s">
        <v>879</v>
      </c>
      <c r="E308" s="60" t="s">
        <v>970</v>
      </c>
      <c r="F308" s="116" t="s">
        <v>994</v>
      </c>
      <c r="G308" s="117" t="s">
        <v>995</v>
      </c>
      <c r="H308" s="117" t="s">
        <v>996</v>
      </c>
      <c r="I308" s="116" t="s">
        <v>101</v>
      </c>
      <c r="J308" s="118" t="s">
        <v>882</v>
      </c>
      <c r="K308" s="119" t="n">
        <v>46327</v>
      </c>
      <c r="L308" s="119" t="n">
        <v>46052</v>
      </c>
      <c r="M308" s="121" t="s">
        <v>39</v>
      </c>
      <c r="N308" s="61" t="s">
        <v>997</v>
      </c>
      <c r="O308" s="61"/>
      <c r="P308" s="61"/>
      <c r="Q308" s="61"/>
      <c r="R308" s="61"/>
    </row>
    <row r="309" customFormat="false" ht="45" hidden="false" customHeight="true" outlineLevel="0" collapsed="false">
      <c r="A309" s="59" t="n">
        <v>2</v>
      </c>
      <c r="B309" s="59" t="s">
        <v>97</v>
      </c>
      <c r="C309" s="59" t="s">
        <v>52</v>
      </c>
      <c r="D309" s="59" t="s">
        <v>879</v>
      </c>
      <c r="E309" s="60" t="s">
        <v>970</v>
      </c>
      <c r="F309" s="116" t="s">
        <v>998</v>
      </c>
      <c r="G309" s="117" t="s">
        <v>999</v>
      </c>
      <c r="H309" s="117" t="s">
        <v>1000</v>
      </c>
      <c r="I309" s="116" t="s">
        <v>101</v>
      </c>
      <c r="J309" s="118" t="s">
        <v>882</v>
      </c>
      <c r="K309" s="119" t="n">
        <v>46327</v>
      </c>
      <c r="L309" s="119" t="n">
        <v>46052</v>
      </c>
      <c r="M309" s="121" t="s">
        <v>34</v>
      </c>
      <c r="N309" s="61" t="s">
        <v>1001</v>
      </c>
      <c r="O309" s="61"/>
      <c r="P309" s="61"/>
      <c r="Q309" s="61"/>
      <c r="R309" s="61"/>
    </row>
    <row r="310" customFormat="false" ht="30" hidden="false" customHeight="true" outlineLevel="0" collapsed="false">
      <c r="A310" s="59" t="n">
        <v>2</v>
      </c>
      <c r="B310" s="59" t="s">
        <v>97</v>
      </c>
      <c r="C310" s="59" t="s">
        <v>52</v>
      </c>
      <c r="D310" s="59" t="s">
        <v>879</v>
      </c>
      <c r="E310" s="60" t="s">
        <v>970</v>
      </c>
      <c r="F310" s="116" t="s">
        <v>1002</v>
      </c>
      <c r="G310" s="117" t="s">
        <v>1003</v>
      </c>
      <c r="H310" s="117" t="s">
        <v>1004</v>
      </c>
      <c r="I310" s="116" t="s">
        <v>101</v>
      </c>
      <c r="J310" s="118" t="s">
        <v>882</v>
      </c>
      <c r="K310" s="63" t="n">
        <v>46327</v>
      </c>
      <c r="L310" s="63" t="n">
        <v>46052</v>
      </c>
      <c r="M310" s="121" t="s">
        <v>39</v>
      </c>
      <c r="N310" s="61" t="s">
        <v>1005</v>
      </c>
      <c r="O310" s="61"/>
      <c r="P310" s="61"/>
      <c r="Q310" s="61"/>
      <c r="R310" s="61"/>
    </row>
    <row r="311" customFormat="false" ht="30" hidden="false" customHeight="true" outlineLevel="0" collapsed="false">
      <c r="A311" s="59" t="n">
        <v>2</v>
      </c>
      <c r="B311" s="59" t="s">
        <v>97</v>
      </c>
      <c r="C311" s="59" t="s">
        <v>52</v>
      </c>
      <c r="D311" s="59" t="s">
        <v>879</v>
      </c>
      <c r="E311" s="60" t="s">
        <v>970</v>
      </c>
      <c r="F311" s="116" t="s">
        <v>1006</v>
      </c>
      <c r="G311" s="117" t="s">
        <v>1007</v>
      </c>
      <c r="H311" s="117" t="s">
        <v>1008</v>
      </c>
      <c r="I311" s="116" t="s">
        <v>101</v>
      </c>
      <c r="J311" s="118" t="s">
        <v>882</v>
      </c>
      <c r="K311" s="119" t="n">
        <v>46327</v>
      </c>
      <c r="L311" s="119" t="n">
        <v>46052</v>
      </c>
      <c r="M311" s="121" t="s">
        <v>39</v>
      </c>
      <c r="N311" s="61" t="s">
        <v>1009</v>
      </c>
      <c r="O311" s="61"/>
      <c r="P311" s="61"/>
      <c r="Q311" s="61"/>
      <c r="R311" s="61"/>
    </row>
    <row r="312" customFormat="false" ht="45" hidden="false" customHeight="true" outlineLevel="0" collapsed="false">
      <c r="A312" s="59" t="n">
        <v>2</v>
      </c>
      <c r="B312" s="59" t="s">
        <v>97</v>
      </c>
      <c r="C312" s="59" t="s">
        <v>52</v>
      </c>
      <c r="D312" s="59" t="s">
        <v>879</v>
      </c>
      <c r="E312" s="60" t="s">
        <v>970</v>
      </c>
      <c r="F312" s="60" t="s">
        <v>1010</v>
      </c>
      <c r="G312" s="61" t="s">
        <v>1011</v>
      </c>
      <c r="H312" s="61" t="s">
        <v>1012</v>
      </c>
      <c r="I312" s="60" t="s">
        <v>101</v>
      </c>
      <c r="J312" s="62" t="s">
        <v>882</v>
      </c>
      <c r="K312" s="63" t="n">
        <v>46296</v>
      </c>
      <c r="L312" s="63" t="n">
        <v>46417</v>
      </c>
      <c r="M312" s="64" t="s">
        <v>34</v>
      </c>
      <c r="N312" s="61" t="s">
        <v>1013</v>
      </c>
      <c r="O312" s="61"/>
      <c r="P312" s="61"/>
      <c r="Q312" s="61"/>
      <c r="R312" s="61"/>
    </row>
    <row r="313" customFormat="false" ht="45" hidden="false" customHeight="true" outlineLevel="0" collapsed="false">
      <c r="A313" s="59" t="n">
        <v>2</v>
      </c>
      <c r="B313" s="59" t="s">
        <v>97</v>
      </c>
      <c r="C313" s="59" t="s">
        <v>52</v>
      </c>
      <c r="D313" s="59" t="s">
        <v>879</v>
      </c>
      <c r="E313" s="60" t="s">
        <v>970</v>
      </c>
      <c r="F313" s="60" t="s">
        <v>1014</v>
      </c>
      <c r="G313" s="61" t="s">
        <v>1015</v>
      </c>
      <c r="H313" s="61" t="s">
        <v>1016</v>
      </c>
      <c r="I313" s="60" t="s">
        <v>101</v>
      </c>
      <c r="J313" s="62" t="s">
        <v>882</v>
      </c>
      <c r="K313" s="63" t="n">
        <v>46266</v>
      </c>
      <c r="L313" s="63" t="n">
        <v>46032</v>
      </c>
      <c r="M313" s="64" t="s">
        <v>34</v>
      </c>
      <c r="N313" s="61" t="s">
        <v>1017</v>
      </c>
      <c r="O313" s="61"/>
      <c r="P313" s="61"/>
      <c r="Q313" s="61"/>
      <c r="R313" s="61"/>
    </row>
    <row r="314" customFormat="false" ht="30" hidden="false" customHeight="true" outlineLevel="0" collapsed="false">
      <c r="A314" s="59" t="n">
        <v>2</v>
      </c>
      <c r="B314" s="59" t="s">
        <v>97</v>
      </c>
      <c r="C314" s="59" t="s">
        <v>52</v>
      </c>
      <c r="D314" s="59" t="s">
        <v>879</v>
      </c>
      <c r="E314" s="60" t="s">
        <v>970</v>
      </c>
      <c r="F314" s="60" t="s">
        <v>1018</v>
      </c>
      <c r="G314" s="61" t="s">
        <v>1019</v>
      </c>
      <c r="H314" s="61" t="s">
        <v>1020</v>
      </c>
      <c r="I314" s="60" t="s">
        <v>101</v>
      </c>
      <c r="J314" s="62" t="s">
        <v>882</v>
      </c>
      <c r="K314" s="63" t="n">
        <v>46266</v>
      </c>
      <c r="L314" s="63" t="n">
        <v>46417</v>
      </c>
      <c r="M314" s="64" t="s">
        <v>34</v>
      </c>
      <c r="N314" s="61" t="s">
        <v>1021</v>
      </c>
      <c r="O314" s="61"/>
      <c r="P314" s="61"/>
      <c r="Q314" s="61"/>
      <c r="R314" s="61"/>
    </row>
    <row r="315" customFormat="false" ht="30" hidden="false" customHeight="true" outlineLevel="0" collapsed="false">
      <c r="A315" s="59" t="n">
        <v>2</v>
      </c>
      <c r="B315" s="59" t="s">
        <v>97</v>
      </c>
      <c r="C315" s="59" t="s">
        <v>52</v>
      </c>
      <c r="D315" s="59" t="s">
        <v>879</v>
      </c>
      <c r="E315" s="60" t="s">
        <v>970</v>
      </c>
      <c r="F315" s="116" t="s">
        <v>1022</v>
      </c>
      <c r="G315" s="117" t="s">
        <v>1023</v>
      </c>
      <c r="H315" s="117" t="s">
        <v>1020</v>
      </c>
      <c r="I315" s="60" t="s">
        <v>101</v>
      </c>
      <c r="J315" s="118" t="s">
        <v>882</v>
      </c>
      <c r="K315" s="119" t="n">
        <v>46266</v>
      </c>
      <c r="L315" s="119" t="n">
        <v>46417</v>
      </c>
      <c r="M315" s="121" t="s">
        <v>39</v>
      </c>
      <c r="N315" s="61"/>
      <c r="O315" s="61"/>
      <c r="P315" s="61"/>
      <c r="Q315" s="61"/>
      <c r="R315" s="61"/>
    </row>
    <row r="316" customFormat="false" ht="30" hidden="false" customHeight="true" outlineLevel="0" collapsed="false">
      <c r="A316" s="108" t="n">
        <v>3</v>
      </c>
      <c r="B316" s="108" t="s">
        <v>97</v>
      </c>
      <c r="C316" s="108" t="s">
        <v>52</v>
      </c>
      <c r="D316" s="108" t="s">
        <v>879</v>
      </c>
      <c r="E316" s="109" t="s">
        <v>970</v>
      </c>
      <c r="F316" s="109" t="s">
        <v>1024</v>
      </c>
      <c r="G316" s="106" t="s">
        <v>1025</v>
      </c>
      <c r="H316" s="106" t="s">
        <v>1026</v>
      </c>
      <c r="I316" s="109" t="s">
        <v>101</v>
      </c>
      <c r="J316" s="110" t="s">
        <v>882</v>
      </c>
      <c r="K316" s="111" t="n">
        <v>46230</v>
      </c>
      <c r="L316" s="111" t="n">
        <v>46238</v>
      </c>
      <c r="M316" s="112" t="s">
        <v>31</v>
      </c>
      <c r="N316" s="113" t="s">
        <v>1027</v>
      </c>
      <c r="O316" s="113"/>
      <c r="P316" s="113"/>
      <c r="Q316" s="113"/>
      <c r="R316" s="113"/>
    </row>
    <row r="317" customFormat="false" ht="15.75" hidden="false" customHeight="false" outlineLevel="0" collapsed="false">
      <c r="A317" s="108" t="n">
        <v>3</v>
      </c>
      <c r="B317" s="108" t="s">
        <v>97</v>
      </c>
      <c r="C317" s="108" t="s">
        <v>52</v>
      </c>
      <c r="D317" s="108" t="s">
        <v>879</v>
      </c>
      <c r="E317" s="109" t="s">
        <v>970</v>
      </c>
      <c r="F317" s="109" t="s">
        <v>1028</v>
      </c>
      <c r="G317" s="106" t="s">
        <v>1029</v>
      </c>
      <c r="H317" s="106" t="s">
        <v>1030</v>
      </c>
      <c r="I317" s="109"/>
      <c r="J317" s="110" t="s">
        <v>882</v>
      </c>
      <c r="K317" s="111" t="s">
        <v>923</v>
      </c>
      <c r="L317" s="111" t="s">
        <v>923</v>
      </c>
      <c r="M317" s="112" t="s">
        <v>39</v>
      </c>
      <c r="N317" s="113"/>
      <c r="O317" s="113"/>
      <c r="P317" s="113"/>
      <c r="Q317" s="113"/>
      <c r="R317" s="113"/>
    </row>
    <row r="318" customFormat="false" ht="27.75" hidden="false" customHeight="true" outlineLevel="0" collapsed="false">
      <c r="A318" s="48" t="n">
        <v>1</v>
      </c>
      <c r="B318" s="48" t="s">
        <v>11</v>
      </c>
      <c r="C318" s="48"/>
      <c r="D318" s="49" t="s">
        <v>1031</v>
      </c>
      <c r="E318" s="89" t="s">
        <v>602</v>
      </c>
      <c r="F318" s="91" t="s">
        <v>1032</v>
      </c>
      <c r="G318" s="134" t="s">
        <v>1033</v>
      </c>
      <c r="H318" s="93"/>
      <c r="I318" s="93" t="s">
        <v>77</v>
      </c>
      <c r="J318" s="91"/>
      <c r="K318" s="94"/>
      <c r="L318" s="94" t="n">
        <v>46341</v>
      </c>
      <c r="M318" s="135" t="s">
        <v>41</v>
      </c>
      <c r="N318" s="50"/>
      <c r="O318" s="50"/>
      <c r="P318" s="50"/>
      <c r="Q318" s="50"/>
      <c r="R318" s="50"/>
    </row>
    <row r="319" customFormat="false" ht="27.75" hidden="false" customHeight="true" outlineLevel="0" collapsed="false">
      <c r="A319" s="48" t="n">
        <v>1</v>
      </c>
      <c r="B319" s="48" t="s">
        <v>11</v>
      </c>
      <c r="C319" s="48" t="s">
        <v>52</v>
      </c>
      <c r="D319" s="49" t="s">
        <v>1034</v>
      </c>
      <c r="E319" s="50"/>
      <c r="F319" s="91" t="s">
        <v>1035</v>
      </c>
      <c r="G319" s="134" t="s">
        <v>1036</v>
      </c>
      <c r="H319" s="93"/>
      <c r="I319" s="93" t="s">
        <v>77</v>
      </c>
      <c r="J319" s="91"/>
      <c r="K319" s="94"/>
      <c r="L319" s="94" t="n">
        <v>46174</v>
      </c>
      <c r="M319" s="136" t="s">
        <v>31</v>
      </c>
      <c r="N319" s="50"/>
      <c r="O319" s="50"/>
      <c r="P319" s="50"/>
      <c r="Q319" s="50"/>
      <c r="R319" s="50"/>
    </row>
    <row r="320" customFormat="false" ht="27.75" hidden="false" customHeight="true" outlineLevel="0" collapsed="false">
      <c r="A320" s="48" t="n">
        <v>1</v>
      </c>
      <c r="B320" s="48" t="s">
        <v>11</v>
      </c>
      <c r="C320" s="48" t="s">
        <v>52</v>
      </c>
      <c r="D320" s="49" t="s">
        <v>1034</v>
      </c>
      <c r="E320" s="50"/>
      <c r="F320" s="91" t="s">
        <v>1037</v>
      </c>
      <c r="G320" s="134" t="s">
        <v>1038</v>
      </c>
      <c r="H320" s="93"/>
      <c r="I320" s="93" t="s">
        <v>77</v>
      </c>
      <c r="J320" s="91"/>
      <c r="K320" s="94"/>
      <c r="L320" s="94" t="n">
        <v>46478</v>
      </c>
      <c r="M320" s="120" t="s">
        <v>34</v>
      </c>
      <c r="N320" s="50"/>
      <c r="O320" s="50"/>
      <c r="P320" s="50"/>
      <c r="Q320" s="50"/>
      <c r="R320" s="50"/>
    </row>
    <row r="321" customFormat="false" ht="27.75" hidden="false" customHeight="true" outlineLevel="0" collapsed="false">
      <c r="A321" s="48" t="n">
        <v>1</v>
      </c>
      <c r="B321" s="48" t="s">
        <v>11</v>
      </c>
      <c r="C321" s="48" t="s">
        <v>52</v>
      </c>
      <c r="D321" s="49" t="s">
        <v>1034</v>
      </c>
      <c r="E321" s="50"/>
      <c r="F321" s="91" t="s">
        <v>1039</v>
      </c>
      <c r="G321" s="134" t="s">
        <v>1040</v>
      </c>
      <c r="H321" s="93"/>
      <c r="I321" s="93" t="s">
        <v>77</v>
      </c>
      <c r="J321" s="91"/>
      <c r="K321" s="94"/>
      <c r="L321" s="94" t="n">
        <v>46478</v>
      </c>
      <c r="M321" s="120" t="s">
        <v>34</v>
      </c>
      <c r="N321" s="50"/>
      <c r="O321" s="50"/>
      <c r="P321" s="50"/>
      <c r="Q321" s="50"/>
      <c r="R321" s="50"/>
    </row>
    <row r="322" customFormat="false" ht="27.75" hidden="false" customHeight="true" outlineLevel="0" collapsed="false">
      <c r="A322" s="48" t="n">
        <v>1</v>
      </c>
      <c r="B322" s="48" t="s">
        <v>11</v>
      </c>
      <c r="C322" s="48" t="s">
        <v>52</v>
      </c>
      <c r="D322" s="49" t="s">
        <v>1034</v>
      </c>
      <c r="E322" s="50"/>
      <c r="F322" s="91" t="s">
        <v>1041</v>
      </c>
      <c r="G322" s="134" t="s">
        <v>1042</v>
      </c>
      <c r="H322" s="93"/>
      <c r="I322" s="93" t="s">
        <v>77</v>
      </c>
      <c r="J322" s="91"/>
      <c r="K322" s="94"/>
      <c r="L322" s="94" t="n">
        <v>46508</v>
      </c>
      <c r="M322" s="135" t="s">
        <v>41</v>
      </c>
      <c r="N322" s="50"/>
      <c r="O322" s="50"/>
      <c r="P322" s="50"/>
      <c r="Q322" s="50"/>
      <c r="R322" s="50"/>
    </row>
    <row r="323" customFormat="false" ht="27.75" hidden="false" customHeight="true" outlineLevel="0" collapsed="false">
      <c r="A323" s="48" t="n">
        <v>1</v>
      </c>
      <c r="B323" s="48" t="s">
        <v>11</v>
      </c>
      <c r="C323" s="48" t="s">
        <v>52</v>
      </c>
      <c r="D323" s="49" t="s">
        <v>1034</v>
      </c>
      <c r="E323" s="50"/>
      <c r="F323" s="91" t="s">
        <v>1043</v>
      </c>
      <c r="G323" s="134" t="s">
        <v>1044</v>
      </c>
      <c r="H323" s="93"/>
      <c r="I323" s="93" t="s">
        <v>77</v>
      </c>
      <c r="J323" s="91"/>
      <c r="K323" s="94"/>
      <c r="L323" s="94" t="n">
        <v>46508</v>
      </c>
      <c r="M323" s="135" t="s">
        <v>41</v>
      </c>
      <c r="N323" s="50"/>
      <c r="O323" s="50"/>
      <c r="P323" s="50"/>
      <c r="Q323" s="50"/>
      <c r="R323" s="50"/>
    </row>
    <row r="324" customFormat="false" ht="15.75" hidden="false" customHeight="false" outlineLevel="0" collapsed="false">
      <c r="A324" s="48" t="n">
        <v>1</v>
      </c>
      <c r="B324" s="48" t="s">
        <v>11</v>
      </c>
      <c r="C324" s="48" t="s">
        <v>52</v>
      </c>
      <c r="D324" s="49" t="s">
        <v>1034</v>
      </c>
      <c r="E324" s="50"/>
      <c r="F324" s="91" t="s">
        <v>1045</v>
      </c>
      <c r="G324" s="134" t="s">
        <v>1046</v>
      </c>
      <c r="H324" s="93"/>
      <c r="I324" s="93" t="s">
        <v>77</v>
      </c>
      <c r="J324" s="91"/>
      <c r="K324" s="94"/>
      <c r="L324" s="94" t="n">
        <v>46508</v>
      </c>
      <c r="M324" s="120" t="s">
        <v>34</v>
      </c>
      <c r="N324" s="50"/>
      <c r="O324" s="50"/>
      <c r="P324" s="50"/>
      <c r="Q324" s="50"/>
      <c r="R324" s="50"/>
    </row>
    <row r="325" customFormat="false" ht="15.75" hidden="false" customHeight="false" outlineLevel="0" collapsed="false">
      <c r="A325" s="48" t="n">
        <v>1</v>
      </c>
      <c r="B325" s="48" t="s">
        <v>11</v>
      </c>
      <c r="C325" s="48" t="s">
        <v>52</v>
      </c>
      <c r="D325" s="49" t="s">
        <v>1034</v>
      </c>
      <c r="E325" s="50"/>
      <c r="F325" s="91" t="s">
        <v>1047</v>
      </c>
      <c r="G325" s="134" t="s">
        <v>1048</v>
      </c>
      <c r="H325" s="93"/>
      <c r="I325" s="93" t="s">
        <v>77</v>
      </c>
      <c r="J325" s="91"/>
      <c r="K325" s="94"/>
      <c r="L325" s="94" t="n">
        <v>46508</v>
      </c>
      <c r="M325" s="120" t="s">
        <v>34</v>
      </c>
      <c r="N325" s="50"/>
      <c r="O325" s="50"/>
      <c r="P325" s="50"/>
      <c r="Q325" s="50"/>
      <c r="R325" s="50"/>
    </row>
    <row r="326" customFormat="false" ht="27.75" hidden="false" customHeight="true" outlineLevel="0" collapsed="false">
      <c r="A326" s="48" t="n">
        <v>1</v>
      </c>
      <c r="B326" s="48" t="s">
        <v>11</v>
      </c>
      <c r="C326" s="48" t="s">
        <v>52</v>
      </c>
      <c r="D326" s="49" t="s">
        <v>1034</v>
      </c>
      <c r="E326" s="50"/>
      <c r="F326" s="91" t="s">
        <v>1049</v>
      </c>
      <c r="G326" s="134" t="s">
        <v>1050</v>
      </c>
      <c r="H326" s="93"/>
      <c r="I326" s="93" t="s">
        <v>77</v>
      </c>
      <c r="J326" s="91"/>
      <c r="K326" s="94"/>
      <c r="L326" s="94" t="n">
        <v>46508</v>
      </c>
      <c r="M326" s="120" t="s">
        <v>34</v>
      </c>
      <c r="N326" s="50"/>
      <c r="O326" s="50"/>
      <c r="P326" s="50"/>
      <c r="Q326" s="50"/>
      <c r="R326" s="50"/>
    </row>
    <row r="327" customFormat="false" ht="27.75" hidden="false" customHeight="true" outlineLevel="0" collapsed="false">
      <c r="A327" s="48" t="n">
        <v>1</v>
      </c>
      <c r="B327" s="48" t="s">
        <v>11</v>
      </c>
      <c r="C327" s="48" t="s">
        <v>52</v>
      </c>
      <c r="D327" s="49" t="s">
        <v>1034</v>
      </c>
      <c r="E327" s="50"/>
      <c r="F327" s="91" t="s">
        <v>1051</v>
      </c>
      <c r="G327" s="134" t="s">
        <v>1052</v>
      </c>
      <c r="H327" s="93"/>
      <c r="I327" s="93" t="s">
        <v>77</v>
      </c>
      <c r="J327" s="91"/>
      <c r="K327" s="94"/>
      <c r="L327" s="94" t="n">
        <v>46508</v>
      </c>
      <c r="M327" s="120" t="s">
        <v>34</v>
      </c>
      <c r="N327" s="50"/>
      <c r="O327" s="50"/>
      <c r="P327" s="50"/>
      <c r="Q327" s="50"/>
      <c r="R327" s="50"/>
    </row>
    <row r="328" customFormat="false" ht="15.75" hidden="false" customHeight="false" outlineLevel="0" collapsed="false">
      <c r="A328" s="49" t="n">
        <v>1</v>
      </c>
      <c r="B328" s="49" t="s">
        <v>11</v>
      </c>
      <c r="C328" s="49" t="s">
        <v>52</v>
      </c>
      <c r="D328" s="49" t="s">
        <v>1034</v>
      </c>
      <c r="E328" s="50"/>
      <c r="F328" s="48" t="s">
        <v>85</v>
      </c>
      <c r="G328" s="57" t="s">
        <v>1053</v>
      </c>
      <c r="H328" s="50" t="s">
        <v>1054</v>
      </c>
      <c r="I328" s="50" t="s">
        <v>77</v>
      </c>
      <c r="J328" s="48"/>
      <c r="K328" s="52"/>
      <c r="L328" s="52" t="n">
        <v>46296</v>
      </c>
      <c r="M328" s="58" t="s">
        <v>39</v>
      </c>
      <c r="N328" s="50" t="s">
        <v>92</v>
      </c>
      <c r="O328" s="50"/>
      <c r="P328" s="50"/>
      <c r="Q328" s="50"/>
      <c r="R328" s="50"/>
    </row>
    <row r="329" customFormat="false" ht="15.75" hidden="false" customHeight="false" outlineLevel="0" collapsed="false">
      <c r="A329" s="59" t="n">
        <v>2</v>
      </c>
      <c r="B329" s="59" t="s">
        <v>97</v>
      </c>
      <c r="C329" s="59" t="s">
        <v>52</v>
      </c>
      <c r="D329" s="59" t="s">
        <v>1034</v>
      </c>
      <c r="E329" s="60"/>
      <c r="F329" s="60" t="s">
        <v>1055</v>
      </c>
      <c r="G329" s="60" t="s">
        <v>1056</v>
      </c>
      <c r="H329" s="60" t="s">
        <v>1057</v>
      </c>
      <c r="I329" s="60" t="s">
        <v>101</v>
      </c>
      <c r="J329" s="62" t="s">
        <v>645</v>
      </c>
      <c r="K329" s="63"/>
      <c r="L329" s="63"/>
      <c r="M329" s="64" t="s">
        <v>102</v>
      </c>
      <c r="N329" s="61"/>
      <c r="O329" s="61"/>
      <c r="P329" s="61"/>
      <c r="Q329" s="61"/>
      <c r="R329" s="61"/>
    </row>
    <row r="330" customFormat="false" ht="15.75" hidden="false" customHeight="false" outlineLevel="0" collapsed="false">
      <c r="A330" s="96" t="n">
        <v>3</v>
      </c>
      <c r="B330" s="96" t="s">
        <v>97</v>
      </c>
      <c r="C330" s="96" t="s">
        <v>52</v>
      </c>
      <c r="D330" s="96" t="s">
        <v>1034</v>
      </c>
      <c r="E330" s="109"/>
      <c r="F330" s="109" t="s">
        <v>1058</v>
      </c>
      <c r="G330" s="106" t="s">
        <v>647</v>
      </c>
      <c r="H330" s="106" t="s">
        <v>648</v>
      </c>
      <c r="I330" s="109" t="s">
        <v>101</v>
      </c>
      <c r="J330" s="110" t="s">
        <v>788</v>
      </c>
      <c r="K330" s="111"/>
      <c r="L330" s="111" t="n">
        <v>46225</v>
      </c>
      <c r="M330" s="133" t="s">
        <v>31</v>
      </c>
      <c r="N330" s="137" t="s">
        <v>650</v>
      </c>
      <c r="O330" s="137"/>
      <c r="P330" s="137"/>
      <c r="Q330" s="137"/>
      <c r="R330" s="137"/>
    </row>
    <row r="331" customFormat="false" ht="15.75" hidden="false" customHeight="false" outlineLevel="0" collapsed="false">
      <c r="A331" s="59" t="n">
        <v>2</v>
      </c>
      <c r="B331" s="59" t="s">
        <v>97</v>
      </c>
      <c r="C331" s="59" t="s">
        <v>52</v>
      </c>
      <c r="D331" s="59" t="s">
        <v>1034</v>
      </c>
      <c r="E331" s="60"/>
      <c r="F331" s="60" t="s">
        <v>1059</v>
      </c>
      <c r="G331" s="60" t="s">
        <v>1060</v>
      </c>
      <c r="H331" s="60" t="s">
        <v>1061</v>
      </c>
      <c r="I331" s="60" t="s">
        <v>101</v>
      </c>
      <c r="J331" s="62" t="s">
        <v>645</v>
      </c>
      <c r="K331" s="63"/>
      <c r="L331" s="63"/>
      <c r="M331" s="64" t="s">
        <v>102</v>
      </c>
      <c r="N331" s="61"/>
      <c r="O331" s="61"/>
      <c r="P331" s="61"/>
      <c r="Q331" s="61"/>
      <c r="R331" s="61"/>
    </row>
    <row r="332" customFormat="false" ht="15.75" hidden="false" customHeight="false" outlineLevel="0" collapsed="false">
      <c r="A332" s="59" t="n">
        <v>2</v>
      </c>
      <c r="B332" s="59" t="s">
        <v>97</v>
      </c>
      <c r="C332" s="59" t="s">
        <v>52</v>
      </c>
      <c r="D332" s="59" t="s">
        <v>1034</v>
      </c>
      <c r="E332" s="60"/>
      <c r="F332" s="60" t="s">
        <v>1062</v>
      </c>
      <c r="G332" s="60" t="s">
        <v>1063</v>
      </c>
      <c r="H332" s="60" t="s">
        <v>1064</v>
      </c>
      <c r="I332" s="60" t="s">
        <v>101</v>
      </c>
      <c r="J332" s="62" t="s">
        <v>645</v>
      </c>
      <c r="K332" s="63"/>
      <c r="L332" s="63"/>
      <c r="M332" s="64" t="s">
        <v>102</v>
      </c>
      <c r="N332" s="61"/>
      <c r="O332" s="61"/>
      <c r="P332" s="61"/>
      <c r="Q332" s="61"/>
      <c r="R332" s="61"/>
    </row>
    <row r="333" customFormat="false" ht="15.75" hidden="false" customHeight="false" outlineLevel="0" collapsed="false">
      <c r="A333" s="59" t="n">
        <v>2</v>
      </c>
      <c r="B333" s="59" t="s">
        <v>97</v>
      </c>
      <c r="C333" s="59" t="s">
        <v>52</v>
      </c>
      <c r="D333" s="59" t="s">
        <v>1034</v>
      </c>
      <c r="E333" s="60"/>
      <c r="F333" s="60" t="s">
        <v>1065</v>
      </c>
      <c r="G333" s="60" t="s">
        <v>1066</v>
      </c>
      <c r="H333" s="60" t="s">
        <v>1067</v>
      </c>
      <c r="I333" s="60" t="s">
        <v>101</v>
      </c>
      <c r="J333" s="62" t="s">
        <v>645</v>
      </c>
      <c r="K333" s="63"/>
      <c r="L333" s="63"/>
      <c r="M333" s="64" t="s">
        <v>102</v>
      </c>
      <c r="N333" s="61"/>
      <c r="O333" s="61"/>
      <c r="P333" s="61"/>
      <c r="Q333" s="61"/>
      <c r="R333" s="61"/>
    </row>
    <row r="334" customFormat="false" ht="15.75" hidden="false" customHeight="false" outlineLevel="0" collapsed="false">
      <c r="A334" s="59" t="n">
        <v>2</v>
      </c>
      <c r="B334" s="59" t="s">
        <v>97</v>
      </c>
      <c r="C334" s="59" t="s">
        <v>52</v>
      </c>
      <c r="D334" s="59" t="s">
        <v>1034</v>
      </c>
      <c r="E334" s="60"/>
      <c r="F334" s="60" t="s">
        <v>1068</v>
      </c>
      <c r="G334" s="60" t="s">
        <v>1069</v>
      </c>
      <c r="H334" s="60" t="s">
        <v>1070</v>
      </c>
      <c r="I334" s="60" t="s">
        <v>101</v>
      </c>
      <c r="J334" s="62" t="s">
        <v>645</v>
      </c>
      <c r="K334" s="63"/>
      <c r="L334" s="63"/>
      <c r="M334" s="64" t="s">
        <v>102</v>
      </c>
      <c r="N334" s="61"/>
      <c r="O334" s="61"/>
      <c r="P334" s="61"/>
      <c r="Q334" s="61"/>
      <c r="R334" s="61"/>
    </row>
    <row r="335" customFormat="false" ht="15.75" hidden="false" customHeight="false" outlineLevel="0" collapsed="false">
      <c r="A335" s="59" t="n">
        <v>2</v>
      </c>
      <c r="B335" s="59" t="s">
        <v>97</v>
      </c>
      <c r="C335" s="59" t="s">
        <v>52</v>
      </c>
      <c r="D335" s="59" t="s">
        <v>1034</v>
      </c>
      <c r="E335" s="60"/>
      <c r="F335" s="60" t="s">
        <v>1071</v>
      </c>
      <c r="G335" s="60" t="s">
        <v>1072</v>
      </c>
      <c r="H335" s="60" t="s">
        <v>1073</v>
      </c>
      <c r="I335" s="60" t="s">
        <v>101</v>
      </c>
      <c r="J335" s="62" t="s">
        <v>645</v>
      </c>
      <c r="K335" s="63"/>
      <c r="L335" s="63"/>
      <c r="M335" s="64" t="s">
        <v>102</v>
      </c>
      <c r="N335" s="61"/>
      <c r="O335" s="61"/>
      <c r="P335" s="61"/>
      <c r="Q335" s="61"/>
      <c r="R335" s="61"/>
    </row>
    <row r="336" customFormat="false" ht="15.75" hidden="false" customHeight="false" outlineLevel="0" collapsed="false">
      <c r="A336" s="59" t="n">
        <v>2</v>
      </c>
      <c r="B336" s="59" t="s">
        <v>97</v>
      </c>
      <c r="C336" s="59" t="s">
        <v>52</v>
      </c>
      <c r="D336" s="59" t="s">
        <v>1034</v>
      </c>
      <c r="E336" s="116"/>
      <c r="F336" s="116" t="s">
        <v>1074</v>
      </c>
      <c r="G336" s="116" t="s">
        <v>1075</v>
      </c>
      <c r="H336" s="116" t="s">
        <v>1076</v>
      </c>
      <c r="I336" s="116" t="s">
        <v>101</v>
      </c>
      <c r="J336" s="118" t="s">
        <v>645</v>
      </c>
      <c r="K336" s="119"/>
      <c r="L336" s="119"/>
      <c r="M336" s="121" t="s">
        <v>102</v>
      </c>
      <c r="N336" s="117"/>
      <c r="O336" s="117"/>
      <c r="P336" s="117"/>
      <c r="Q336" s="117"/>
      <c r="R336" s="117"/>
    </row>
    <row r="337" customFormat="false" ht="27.75" hidden="false" customHeight="true" outlineLevel="0" collapsed="false">
      <c r="A337" s="48" t="n">
        <v>1</v>
      </c>
      <c r="B337" s="48" t="s">
        <v>11</v>
      </c>
      <c r="C337" s="48" t="s">
        <v>52</v>
      </c>
      <c r="D337" s="49" t="s">
        <v>1077</v>
      </c>
      <c r="E337" s="50"/>
      <c r="F337" s="48" t="s">
        <v>1078</v>
      </c>
      <c r="G337" s="51" t="s">
        <v>1079</v>
      </c>
      <c r="H337" s="50"/>
      <c r="I337" s="50" t="s">
        <v>77</v>
      </c>
      <c r="J337" s="50" t="s">
        <v>1080</v>
      </c>
      <c r="K337" s="52"/>
      <c r="L337" s="52" t="n">
        <v>46447</v>
      </c>
      <c r="M337" s="54" t="s">
        <v>34</v>
      </c>
      <c r="N337" s="50"/>
      <c r="O337" s="50"/>
      <c r="P337" s="50"/>
      <c r="Q337" s="50"/>
      <c r="R337" s="50"/>
    </row>
    <row r="338" customFormat="false" ht="27.75" hidden="false" customHeight="true" outlineLevel="0" collapsed="false">
      <c r="A338" s="48" t="n">
        <v>1</v>
      </c>
      <c r="B338" s="48" t="s">
        <v>11</v>
      </c>
      <c r="C338" s="48" t="s">
        <v>52</v>
      </c>
      <c r="D338" s="49" t="s">
        <v>1077</v>
      </c>
      <c r="E338" s="50"/>
      <c r="F338" s="48" t="s">
        <v>1081</v>
      </c>
      <c r="G338" s="51" t="s">
        <v>1082</v>
      </c>
      <c r="H338" s="50"/>
      <c r="I338" s="50" t="s">
        <v>77</v>
      </c>
      <c r="J338" s="50" t="s">
        <v>1080</v>
      </c>
      <c r="K338" s="52"/>
      <c r="L338" s="52" t="n">
        <v>46447</v>
      </c>
      <c r="M338" s="54" t="s">
        <v>34</v>
      </c>
      <c r="N338" s="50"/>
      <c r="O338" s="50"/>
      <c r="P338" s="50"/>
      <c r="Q338" s="50"/>
      <c r="R338" s="50"/>
    </row>
    <row r="339" customFormat="false" ht="42" hidden="false" customHeight="true" outlineLevel="0" collapsed="false">
      <c r="A339" s="48" t="n">
        <v>1</v>
      </c>
      <c r="B339" s="48" t="s">
        <v>11</v>
      </c>
      <c r="C339" s="48" t="s">
        <v>52</v>
      </c>
      <c r="D339" s="49" t="s">
        <v>1077</v>
      </c>
      <c r="E339" s="50"/>
      <c r="F339" s="48" t="s">
        <v>1083</v>
      </c>
      <c r="G339" s="51" t="s">
        <v>1084</v>
      </c>
      <c r="H339" s="50"/>
      <c r="I339" s="50" t="s">
        <v>77</v>
      </c>
      <c r="J339" s="50" t="s">
        <v>1080</v>
      </c>
      <c r="K339" s="52"/>
      <c r="L339" s="52" t="n">
        <v>46447</v>
      </c>
      <c r="M339" s="54" t="s">
        <v>34</v>
      </c>
      <c r="N339" s="50"/>
      <c r="O339" s="50"/>
      <c r="P339" s="50"/>
      <c r="Q339" s="50"/>
      <c r="R339" s="50"/>
    </row>
    <row r="340" customFormat="false" ht="27.75" hidden="false" customHeight="true" outlineLevel="0" collapsed="false">
      <c r="A340" s="48" t="n">
        <v>1</v>
      </c>
      <c r="B340" s="48" t="s">
        <v>11</v>
      </c>
      <c r="C340" s="48" t="s">
        <v>52</v>
      </c>
      <c r="D340" s="49" t="s">
        <v>1077</v>
      </c>
      <c r="E340" s="50"/>
      <c r="F340" s="48" t="s">
        <v>1085</v>
      </c>
      <c r="G340" s="51" t="s">
        <v>1086</v>
      </c>
      <c r="H340" s="50"/>
      <c r="I340" s="50" t="s">
        <v>77</v>
      </c>
      <c r="J340" s="50" t="s">
        <v>1080</v>
      </c>
      <c r="K340" s="52"/>
      <c r="L340" s="52"/>
      <c r="M340" s="88" t="s">
        <v>41</v>
      </c>
      <c r="N340" s="50"/>
      <c r="O340" s="50"/>
      <c r="P340" s="50"/>
      <c r="Q340" s="50"/>
      <c r="R340" s="50"/>
    </row>
    <row r="341" customFormat="false" ht="15.75" hidden="false" customHeight="false" outlineLevel="0" collapsed="false">
      <c r="A341" s="48" t="n">
        <v>1</v>
      </c>
      <c r="B341" s="48" t="s">
        <v>11</v>
      </c>
      <c r="C341" s="48" t="s">
        <v>52</v>
      </c>
      <c r="D341" s="49" t="s">
        <v>1077</v>
      </c>
      <c r="E341" s="50"/>
      <c r="F341" s="48" t="s">
        <v>1087</v>
      </c>
      <c r="G341" s="51" t="s">
        <v>1088</v>
      </c>
      <c r="H341" s="50"/>
      <c r="I341" s="50" t="s">
        <v>77</v>
      </c>
      <c r="J341" s="50" t="s">
        <v>1080</v>
      </c>
      <c r="K341" s="52"/>
      <c r="L341" s="52" t="n">
        <v>46357</v>
      </c>
      <c r="M341" s="54" t="s">
        <v>34</v>
      </c>
      <c r="N341" s="50"/>
      <c r="O341" s="50"/>
      <c r="P341" s="50"/>
      <c r="Q341" s="50"/>
      <c r="R341" s="50"/>
    </row>
    <row r="342" customFormat="false" ht="42" hidden="false" customHeight="true" outlineLevel="0" collapsed="false">
      <c r="A342" s="48"/>
      <c r="B342" s="48"/>
      <c r="C342" s="48"/>
      <c r="D342" s="49" t="s">
        <v>1077</v>
      </c>
      <c r="E342" s="50"/>
      <c r="F342" s="48" t="s">
        <v>1089</v>
      </c>
      <c r="G342" s="51" t="s">
        <v>1090</v>
      </c>
      <c r="H342" s="50" t="s">
        <v>1091</v>
      </c>
      <c r="I342" s="50" t="s">
        <v>77</v>
      </c>
      <c r="J342" s="50" t="s">
        <v>1080</v>
      </c>
      <c r="K342" s="52"/>
      <c r="L342" s="52"/>
      <c r="M342" s="54" t="s">
        <v>37</v>
      </c>
      <c r="N342" s="50" t="s">
        <v>1092</v>
      </c>
      <c r="O342" s="50"/>
      <c r="P342" s="50"/>
      <c r="Q342" s="50"/>
      <c r="R342" s="50"/>
    </row>
    <row r="343" customFormat="false" ht="27.75" hidden="false" customHeight="true" outlineLevel="0" collapsed="false">
      <c r="A343" s="49" t="n">
        <v>1</v>
      </c>
      <c r="B343" s="49" t="s">
        <v>11</v>
      </c>
      <c r="C343" s="49" t="s">
        <v>52</v>
      </c>
      <c r="D343" s="49" t="s">
        <v>1077</v>
      </c>
      <c r="E343" s="50"/>
      <c r="F343" s="48" t="s">
        <v>85</v>
      </c>
      <c r="G343" s="57" t="s">
        <v>1093</v>
      </c>
      <c r="H343" s="50" t="s">
        <v>1094</v>
      </c>
      <c r="I343" s="50" t="s">
        <v>77</v>
      </c>
      <c r="J343" s="50" t="s">
        <v>1080</v>
      </c>
      <c r="K343" s="52"/>
      <c r="L343" s="52" t="n">
        <v>46357</v>
      </c>
      <c r="M343" s="58" t="s">
        <v>39</v>
      </c>
      <c r="N343" s="50" t="s">
        <v>92</v>
      </c>
      <c r="O343" s="50"/>
      <c r="P343" s="50"/>
      <c r="Q343" s="50"/>
      <c r="R343" s="50"/>
    </row>
    <row r="344" customFormat="false" ht="15.75" hidden="false" customHeight="false" outlineLevel="0" collapsed="false">
      <c r="A344" s="49" t="n">
        <v>1</v>
      </c>
      <c r="B344" s="49" t="s">
        <v>11</v>
      </c>
      <c r="C344" s="49" t="s">
        <v>52</v>
      </c>
      <c r="D344" s="49" t="s">
        <v>1077</v>
      </c>
      <c r="E344" s="50"/>
      <c r="F344" s="48" t="s">
        <v>85</v>
      </c>
      <c r="G344" s="57" t="s">
        <v>1095</v>
      </c>
      <c r="H344" s="50" t="s">
        <v>1096</v>
      </c>
      <c r="I344" s="50" t="s">
        <v>77</v>
      </c>
      <c r="J344" s="50" t="s">
        <v>1080</v>
      </c>
      <c r="K344" s="52"/>
      <c r="L344" s="52" t="n">
        <v>46402</v>
      </c>
      <c r="M344" s="58" t="s">
        <v>39</v>
      </c>
      <c r="N344" s="50" t="s">
        <v>92</v>
      </c>
      <c r="O344" s="50"/>
      <c r="P344" s="50"/>
      <c r="Q344" s="50"/>
      <c r="R344" s="50"/>
    </row>
    <row r="345" customFormat="false" ht="27.75" hidden="false" customHeight="true" outlineLevel="0" collapsed="false">
      <c r="A345" s="49" t="n">
        <v>1</v>
      </c>
      <c r="B345" s="49" t="s">
        <v>11</v>
      </c>
      <c r="C345" s="49" t="s">
        <v>52</v>
      </c>
      <c r="D345" s="49" t="s">
        <v>1077</v>
      </c>
      <c r="E345" s="50"/>
      <c r="F345" s="48" t="s">
        <v>85</v>
      </c>
      <c r="G345" s="57" t="s">
        <v>1097</v>
      </c>
      <c r="H345" s="50" t="s">
        <v>1098</v>
      </c>
      <c r="I345" s="50" t="s">
        <v>77</v>
      </c>
      <c r="J345" s="50" t="s">
        <v>1080</v>
      </c>
      <c r="K345" s="52"/>
      <c r="L345" s="52" t="n">
        <v>46341</v>
      </c>
      <c r="M345" s="58" t="s">
        <v>39</v>
      </c>
      <c r="N345" s="50" t="s">
        <v>92</v>
      </c>
      <c r="O345" s="50"/>
      <c r="P345" s="50"/>
      <c r="Q345" s="50" t="s">
        <v>630</v>
      </c>
      <c r="R345" s="50"/>
    </row>
    <row r="346" customFormat="false" ht="27.75" hidden="false" customHeight="true" outlineLevel="0" collapsed="false">
      <c r="A346" s="49" t="n">
        <v>1</v>
      </c>
      <c r="B346" s="49" t="s">
        <v>11</v>
      </c>
      <c r="C346" s="49" t="s">
        <v>52</v>
      </c>
      <c r="D346" s="49" t="s">
        <v>1077</v>
      </c>
      <c r="E346" s="50"/>
      <c r="F346" s="48" t="s">
        <v>85</v>
      </c>
      <c r="G346" s="57" t="s">
        <v>1099</v>
      </c>
      <c r="H346" s="50" t="s">
        <v>1100</v>
      </c>
      <c r="I346" s="50" t="s">
        <v>77</v>
      </c>
      <c r="J346" s="50" t="s">
        <v>1080</v>
      </c>
      <c r="K346" s="52"/>
      <c r="L346" s="52" t="n">
        <v>46419</v>
      </c>
      <c r="M346" s="58" t="s">
        <v>39</v>
      </c>
      <c r="N346" s="50" t="s">
        <v>92</v>
      </c>
      <c r="O346" s="50"/>
      <c r="P346" s="50"/>
      <c r="Q346" s="50"/>
      <c r="R346" s="50"/>
    </row>
    <row r="347" customFormat="false" ht="27.75" hidden="false" customHeight="true" outlineLevel="0" collapsed="false">
      <c r="A347" s="49" t="n">
        <v>1</v>
      </c>
      <c r="B347" s="49" t="s">
        <v>11</v>
      </c>
      <c r="C347" s="49" t="s">
        <v>52</v>
      </c>
      <c r="D347" s="49" t="s">
        <v>1077</v>
      </c>
      <c r="E347" s="50"/>
      <c r="F347" s="48" t="s">
        <v>85</v>
      </c>
      <c r="G347" s="57" t="s">
        <v>1101</v>
      </c>
      <c r="H347" s="50" t="s">
        <v>1102</v>
      </c>
      <c r="I347" s="50" t="s">
        <v>77</v>
      </c>
      <c r="J347" s="50" t="s">
        <v>1080</v>
      </c>
      <c r="K347" s="52"/>
      <c r="L347" s="52" t="n">
        <v>46447</v>
      </c>
      <c r="M347" s="58" t="s">
        <v>39</v>
      </c>
      <c r="N347" s="50" t="s">
        <v>92</v>
      </c>
      <c r="O347" s="50"/>
      <c r="P347" s="50"/>
      <c r="Q347" s="50"/>
      <c r="R347" s="50"/>
    </row>
    <row r="348" customFormat="false" ht="27.75" hidden="false" customHeight="true" outlineLevel="0" collapsed="false">
      <c r="A348" s="49" t="n">
        <v>1</v>
      </c>
      <c r="B348" s="49" t="s">
        <v>11</v>
      </c>
      <c r="C348" s="49" t="s">
        <v>52</v>
      </c>
      <c r="D348" s="49" t="s">
        <v>1077</v>
      </c>
      <c r="E348" s="50"/>
      <c r="F348" s="48" t="s">
        <v>85</v>
      </c>
      <c r="G348" s="57" t="s">
        <v>1103</v>
      </c>
      <c r="H348" s="50" t="s">
        <v>1104</v>
      </c>
      <c r="I348" s="50" t="s">
        <v>77</v>
      </c>
      <c r="J348" s="50" t="s">
        <v>1080</v>
      </c>
      <c r="K348" s="52"/>
      <c r="L348" s="52" t="n">
        <v>46327</v>
      </c>
      <c r="M348" s="58" t="s">
        <v>39</v>
      </c>
      <c r="N348" s="50" t="s">
        <v>92</v>
      </c>
      <c r="O348" s="50"/>
      <c r="P348" s="50"/>
      <c r="Q348" s="50"/>
      <c r="R348" s="50"/>
    </row>
    <row r="349" customFormat="false" ht="27.75" hidden="false" customHeight="true" outlineLevel="0" collapsed="false">
      <c r="A349" s="49" t="n">
        <v>1</v>
      </c>
      <c r="B349" s="49" t="s">
        <v>11</v>
      </c>
      <c r="C349" s="49" t="s">
        <v>52</v>
      </c>
      <c r="D349" s="49" t="s">
        <v>1077</v>
      </c>
      <c r="E349" s="50"/>
      <c r="F349" s="48" t="s">
        <v>85</v>
      </c>
      <c r="G349" s="57" t="s">
        <v>1105</v>
      </c>
      <c r="H349" s="50" t="s">
        <v>1106</v>
      </c>
      <c r="I349" s="50" t="s">
        <v>77</v>
      </c>
      <c r="J349" s="50" t="s">
        <v>1080</v>
      </c>
      <c r="K349" s="52"/>
      <c r="L349" s="52" t="n">
        <v>46341</v>
      </c>
      <c r="M349" s="58" t="s">
        <v>39</v>
      </c>
      <c r="N349" s="50" t="s">
        <v>92</v>
      </c>
      <c r="O349" s="50"/>
      <c r="P349" s="50"/>
      <c r="Q349" s="50"/>
      <c r="R349" s="50"/>
    </row>
    <row r="350" customFormat="false" ht="30" hidden="false" customHeight="true" outlineLevel="0" collapsed="false">
      <c r="A350" s="59" t="n">
        <v>2</v>
      </c>
      <c r="B350" s="59" t="s">
        <v>97</v>
      </c>
      <c r="C350" s="59" t="s">
        <v>52</v>
      </c>
      <c r="D350" s="59" t="s">
        <v>1077</v>
      </c>
      <c r="E350" s="60"/>
      <c r="F350" s="60" t="s">
        <v>1107</v>
      </c>
      <c r="G350" s="61" t="s">
        <v>1108</v>
      </c>
      <c r="H350" s="61" t="s">
        <v>1109</v>
      </c>
      <c r="I350" s="60" t="s">
        <v>101</v>
      </c>
      <c r="J350" s="62" t="s">
        <v>1080</v>
      </c>
      <c r="K350" s="63"/>
      <c r="L350" s="63" t="n">
        <v>46234</v>
      </c>
      <c r="M350" s="138" t="s">
        <v>34</v>
      </c>
      <c r="N350" s="61"/>
      <c r="O350" s="61"/>
      <c r="P350" s="61"/>
      <c r="Q350" s="61"/>
      <c r="R350" s="61"/>
    </row>
    <row r="351" customFormat="false" ht="15.75" hidden="false" customHeight="false" outlineLevel="0" collapsed="false">
      <c r="A351" s="96" t="n">
        <v>3</v>
      </c>
      <c r="B351" s="96" t="s">
        <v>97</v>
      </c>
      <c r="C351" s="96" t="s">
        <v>52</v>
      </c>
      <c r="D351" s="96" t="s">
        <v>1077</v>
      </c>
      <c r="E351" s="97"/>
      <c r="F351" s="97" t="s">
        <v>1110</v>
      </c>
      <c r="G351" s="139" t="s">
        <v>1111</v>
      </c>
      <c r="H351" s="98"/>
      <c r="I351" s="97" t="s">
        <v>101</v>
      </c>
      <c r="J351" s="99" t="s">
        <v>1080</v>
      </c>
      <c r="K351" s="100"/>
      <c r="L351" s="100" t="n">
        <v>46217</v>
      </c>
      <c r="M351" s="140" t="s">
        <v>31</v>
      </c>
      <c r="N351" s="98"/>
      <c r="O351" s="98"/>
      <c r="P351" s="98"/>
      <c r="Q351" s="98"/>
      <c r="R351" s="98"/>
    </row>
    <row r="352" customFormat="false" ht="15.75" hidden="false" customHeight="false" outlineLevel="0" collapsed="false">
      <c r="A352" s="96" t="n">
        <v>3</v>
      </c>
      <c r="B352" s="96" t="s">
        <v>97</v>
      </c>
      <c r="C352" s="96" t="s">
        <v>52</v>
      </c>
      <c r="D352" s="96" t="s">
        <v>1077</v>
      </c>
      <c r="E352" s="97"/>
      <c r="F352" s="97" t="s">
        <v>1112</v>
      </c>
      <c r="G352" s="139" t="s">
        <v>1113</v>
      </c>
      <c r="H352" s="98"/>
      <c r="I352" s="97" t="s">
        <v>101</v>
      </c>
      <c r="J352" s="99" t="s">
        <v>1080</v>
      </c>
      <c r="K352" s="100"/>
      <c r="L352" s="100" t="n">
        <v>46220</v>
      </c>
      <c r="M352" s="140" t="s">
        <v>31</v>
      </c>
      <c r="N352" s="98"/>
      <c r="O352" s="98"/>
      <c r="P352" s="98"/>
      <c r="Q352" s="98"/>
      <c r="R352" s="98"/>
    </row>
    <row r="353" customFormat="false" ht="15.75" hidden="false" customHeight="false" outlineLevel="0" collapsed="false">
      <c r="A353" s="96" t="n">
        <v>3</v>
      </c>
      <c r="B353" s="96" t="s">
        <v>97</v>
      </c>
      <c r="C353" s="96" t="s">
        <v>52</v>
      </c>
      <c r="D353" s="96" t="s">
        <v>1077</v>
      </c>
      <c r="E353" s="97"/>
      <c r="F353" s="97" t="s">
        <v>1114</v>
      </c>
      <c r="G353" s="139" t="s">
        <v>1115</v>
      </c>
      <c r="H353" s="98"/>
      <c r="I353" s="97" t="s">
        <v>101</v>
      </c>
      <c r="J353" s="99" t="s">
        <v>1080</v>
      </c>
      <c r="K353" s="100"/>
      <c r="L353" s="100" t="n">
        <v>46224</v>
      </c>
      <c r="M353" s="140" t="s">
        <v>31</v>
      </c>
      <c r="N353" s="98"/>
      <c r="O353" s="98"/>
      <c r="P353" s="98"/>
      <c r="Q353" s="98"/>
      <c r="R353" s="98"/>
    </row>
    <row r="354" customFormat="false" ht="15.75" hidden="false" customHeight="false" outlineLevel="0" collapsed="false">
      <c r="A354" s="96" t="n">
        <v>3</v>
      </c>
      <c r="B354" s="96" t="s">
        <v>97</v>
      </c>
      <c r="C354" s="96" t="s">
        <v>52</v>
      </c>
      <c r="D354" s="96" t="s">
        <v>1077</v>
      </c>
      <c r="E354" s="97"/>
      <c r="F354" s="97" t="s">
        <v>1116</v>
      </c>
      <c r="G354" s="139" t="s">
        <v>1117</v>
      </c>
      <c r="H354" s="98"/>
      <c r="I354" s="97" t="s">
        <v>101</v>
      </c>
      <c r="J354" s="99" t="s">
        <v>1080</v>
      </c>
      <c r="K354" s="100"/>
      <c r="L354" s="100" t="n">
        <v>46227</v>
      </c>
      <c r="M354" s="140" t="s">
        <v>31</v>
      </c>
      <c r="N354" s="98"/>
      <c r="O354" s="98"/>
      <c r="P354" s="98"/>
      <c r="Q354" s="98"/>
      <c r="R354" s="98"/>
    </row>
    <row r="355" customFormat="false" ht="15.75" hidden="false" customHeight="false" outlineLevel="0" collapsed="false">
      <c r="A355" s="96" t="n">
        <v>3</v>
      </c>
      <c r="B355" s="96" t="s">
        <v>97</v>
      </c>
      <c r="C355" s="96" t="s">
        <v>52</v>
      </c>
      <c r="D355" s="96" t="s">
        <v>1077</v>
      </c>
      <c r="E355" s="97"/>
      <c r="F355" s="97" t="s">
        <v>1118</v>
      </c>
      <c r="G355" s="139" t="s">
        <v>1119</v>
      </c>
      <c r="H355" s="98"/>
      <c r="I355" s="97" t="s">
        <v>101</v>
      </c>
      <c r="J355" s="99" t="s">
        <v>1080</v>
      </c>
      <c r="K355" s="100"/>
      <c r="L355" s="100" t="n">
        <v>46230</v>
      </c>
      <c r="M355" s="140" t="s">
        <v>31</v>
      </c>
      <c r="N355" s="98"/>
      <c r="O355" s="98"/>
      <c r="P355" s="98"/>
      <c r="Q355" s="98"/>
      <c r="R355" s="98"/>
    </row>
    <row r="356" customFormat="false" ht="15.75" hidden="false" customHeight="false" outlineLevel="0" collapsed="false">
      <c r="A356" s="96" t="n">
        <v>3</v>
      </c>
      <c r="B356" s="96" t="s">
        <v>97</v>
      </c>
      <c r="C356" s="96" t="s">
        <v>52</v>
      </c>
      <c r="D356" s="96" t="s">
        <v>1077</v>
      </c>
      <c r="E356" s="97"/>
      <c r="F356" s="97" t="s">
        <v>1120</v>
      </c>
      <c r="G356" s="139" t="s">
        <v>1121</v>
      </c>
      <c r="H356" s="98"/>
      <c r="I356" s="97" t="s">
        <v>101</v>
      </c>
      <c r="J356" s="99" t="s">
        <v>1080</v>
      </c>
      <c r="K356" s="100"/>
      <c r="L356" s="100" t="n">
        <v>46234</v>
      </c>
      <c r="M356" s="140" t="s">
        <v>31</v>
      </c>
      <c r="N356" s="98"/>
      <c r="O356" s="98"/>
      <c r="P356" s="98"/>
      <c r="Q356" s="98"/>
      <c r="R356" s="98"/>
    </row>
    <row r="357" customFormat="false" ht="15.75" hidden="false" customHeight="false" outlineLevel="0" collapsed="false">
      <c r="A357" s="96" t="n">
        <v>2</v>
      </c>
      <c r="B357" s="96" t="s">
        <v>97</v>
      </c>
      <c r="C357" s="96" t="s">
        <v>52</v>
      </c>
      <c r="D357" s="96" t="s">
        <v>1077</v>
      </c>
      <c r="E357" s="97"/>
      <c r="F357" s="97" t="s">
        <v>1122</v>
      </c>
      <c r="G357" s="139" t="s">
        <v>1123</v>
      </c>
      <c r="H357" s="98"/>
      <c r="I357" s="97" t="s">
        <v>101</v>
      </c>
      <c r="J357" s="99" t="s">
        <v>1080</v>
      </c>
      <c r="K357" s="100" t="n">
        <v>46238</v>
      </c>
      <c r="L357" s="100"/>
      <c r="M357" s="140" t="s">
        <v>34</v>
      </c>
      <c r="N357" s="98"/>
      <c r="O357" s="98"/>
      <c r="P357" s="98"/>
      <c r="Q357" s="98" t="s">
        <v>630</v>
      </c>
      <c r="R357" s="98"/>
    </row>
    <row r="358" customFormat="false" ht="15.75" hidden="false" customHeight="false" outlineLevel="0" collapsed="false">
      <c r="A358" s="59" t="n">
        <v>2</v>
      </c>
      <c r="B358" s="59" t="s">
        <v>97</v>
      </c>
      <c r="C358" s="59" t="s">
        <v>52</v>
      </c>
      <c r="D358" s="59" t="s">
        <v>1077</v>
      </c>
      <c r="E358" s="60"/>
      <c r="F358" s="60" t="s">
        <v>1124</v>
      </c>
      <c r="G358" s="61" t="s">
        <v>1125</v>
      </c>
      <c r="H358" s="61"/>
      <c r="I358" s="60" t="s">
        <v>101</v>
      </c>
      <c r="J358" s="62" t="s">
        <v>1080</v>
      </c>
      <c r="K358" s="63"/>
      <c r="L358" s="63"/>
      <c r="M358" s="64" t="s">
        <v>41</v>
      </c>
      <c r="N358" s="61"/>
      <c r="O358" s="61"/>
      <c r="P358" s="61"/>
      <c r="Q358" s="61"/>
      <c r="R358" s="61"/>
    </row>
    <row r="359" customFormat="false" ht="45" hidden="false" customHeight="true" outlineLevel="0" collapsed="false">
      <c r="A359" s="59" t="n">
        <v>2</v>
      </c>
      <c r="B359" s="59" t="s">
        <v>97</v>
      </c>
      <c r="C359" s="59" t="s">
        <v>52</v>
      </c>
      <c r="D359" s="59" t="s">
        <v>1077</v>
      </c>
      <c r="E359" s="60"/>
      <c r="F359" s="60" t="s">
        <v>1126</v>
      </c>
      <c r="G359" s="61" t="s">
        <v>1127</v>
      </c>
      <c r="H359" s="61" t="s">
        <v>1128</v>
      </c>
      <c r="I359" s="60" t="s">
        <v>101</v>
      </c>
      <c r="J359" s="62" t="s">
        <v>1080</v>
      </c>
      <c r="K359" s="63"/>
      <c r="L359" s="63"/>
      <c r="M359" s="64" t="s">
        <v>41</v>
      </c>
      <c r="N359" s="61"/>
      <c r="O359" s="61"/>
      <c r="P359" s="61"/>
      <c r="Q359" s="61"/>
      <c r="R359" s="61"/>
    </row>
    <row r="360" customFormat="false" ht="15.75" hidden="false" customHeight="false" outlineLevel="0" collapsed="false">
      <c r="A360" s="96" t="n">
        <v>3</v>
      </c>
      <c r="B360" s="96" t="s">
        <v>97</v>
      </c>
      <c r="C360" s="96" t="s">
        <v>52</v>
      </c>
      <c r="D360" s="96" t="s">
        <v>1077</v>
      </c>
      <c r="E360" s="97"/>
      <c r="F360" s="97" t="s">
        <v>1129</v>
      </c>
      <c r="G360" s="98" t="s">
        <v>647</v>
      </c>
      <c r="H360" s="98" t="s">
        <v>648</v>
      </c>
      <c r="I360" s="97" t="s">
        <v>101</v>
      </c>
      <c r="J360" s="99" t="s">
        <v>1080</v>
      </c>
      <c r="K360" s="100"/>
      <c r="L360" s="100" t="n">
        <v>46223</v>
      </c>
      <c r="M360" s="101" t="s">
        <v>31</v>
      </c>
      <c r="N360" s="102" t="s">
        <v>650</v>
      </c>
      <c r="O360" s="102"/>
      <c r="P360" s="102"/>
      <c r="Q360" s="102"/>
      <c r="R360" s="102"/>
    </row>
    <row r="361" customFormat="false" ht="60" hidden="false" customHeight="true" outlineLevel="0" collapsed="false">
      <c r="A361" s="96" t="n">
        <v>3</v>
      </c>
      <c r="B361" s="96" t="s">
        <v>97</v>
      </c>
      <c r="C361" s="96" t="s">
        <v>52</v>
      </c>
      <c r="D361" s="96" t="s">
        <v>1077</v>
      </c>
      <c r="E361" s="97"/>
      <c r="F361" s="97" t="s">
        <v>1129</v>
      </c>
      <c r="G361" s="98" t="s">
        <v>1130</v>
      </c>
      <c r="H361" s="98" t="s">
        <v>1131</v>
      </c>
      <c r="I361" s="97" t="s">
        <v>101</v>
      </c>
      <c r="J361" s="99" t="s">
        <v>1080</v>
      </c>
      <c r="K361" s="100"/>
      <c r="L361" s="100"/>
      <c r="M361" s="101" t="s">
        <v>37</v>
      </c>
      <c r="N361" s="102" t="s">
        <v>1132</v>
      </c>
      <c r="O361" s="102"/>
      <c r="P361" s="102"/>
      <c r="Q361" s="102"/>
      <c r="R361" s="102"/>
    </row>
    <row r="362" customFormat="false" ht="30" hidden="false" customHeight="true" outlineLevel="0" collapsed="false">
      <c r="A362" s="59" t="n">
        <v>2</v>
      </c>
      <c r="B362" s="59" t="s">
        <v>97</v>
      </c>
      <c r="C362" s="59" t="s">
        <v>52</v>
      </c>
      <c r="D362" s="59" t="s">
        <v>1077</v>
      </c>
      <c r="E362" s="116"/>
      <c r="F362" s="116" t="s">
        <v>1133</v>
      </c>
      <c r="G362" s="117" t="s">
        <v>1134</v>
      </c>
      <c r="H362" s="117" t="s">
        <v>1135</v>
      </c>
      <c r="I362" s="116" t="s">
        <v>101</v>
      </c>
      <c r="J362" s="62" t="s">
        <v>1080</v>
      </c>
      <c r="K362" s="119"/>
      <c r="L362" s="119"/>
      <c r="M362" s="121" t="s">
        <v>41</v>
      </c>
      <c r="N362" s="117"/>
      <c r="O362" s="117"/>
      <c r="P362" s="117"/>
      <c r="Q362" s="117"/>
      <c r="R362" s="117"/>
    </row>
    <row r="363" customFormat="false" ht="15.75" hidden="false" customHeight="false" outlineLevel="0" collapsed="false">
      <c r="A363" s="96" t="n">
        <v>2</v>
      </c>
      <c r="B363" s="96" t="s">
        <v>97</v>
      </c>
      <c r="C363" s="96" t="s">
        <v>52</v>
      </c>
      <c r="D363" s="96" t="s">
        <v>1077</v>
      </c>
      <c r="E363" s="97"/>
      <c r="F363" s="97" t="s">
        <v>1136</v>
      </c>
      <c r="G363" s="98" t="s">
        <v>1137</v>
      </c>
      <c r="H363" s="98"/>
      <c r="I363" s="97"/>
      <c r="J363" s="99"/>
      <c r="K363" s="100"/>
      <c r="L363" s="100"/>
      <c r="M363" s="64"/>
      <c r="N363" s="102"/>
      <c r="O363" s="102"/>
      <c r="P363" s="102"/>
      <c r="Q363" s="102"/>
      <c r="R363" s="102"/>
    </row>
    <row r="364" customFormat="false" ht="15.75" hidden="false" customHeight="false" outlineLevel="0" collapsed="false">
      <c r="A364" s="59" t="n">
        <v>2</v>
      </c>
      <c r="B364" s="59" t="s">
        <v>97</v>
      </c>
      <c r="C364" s="59" t="s">
        <v>52</v>
      </c>
      <c r="D364" s="59" t="s">
        <v>1077</v>
      </c>
      <c r="E364" s="60"/>
      <c r="F364" s="60" t="s">
        <v>1138</v>
      </c>
      <c r="G364" s="61" t="s">
        <v>1139</v>
      </c>
      <c r="H364" s="61"/>
      <c r="I364" s="60" t="s">
        <v>101</v>
      </c>
      <c r="J364" s="62" t="s">
        <v>1080</v>
      </c>
      <c r="K364" s="63"/>
      <c r="L364" s="63"/>
      <c r="M364" s="64" t="s">
        <v>41</v>
      </c>
      <c r="N364" s="61"/>
      <c r="O364" s="61"/>
      <c r="P364" s="61"/>
      <c r="Q364" s="61"/>
      <c r="R364" s="61"/>
    </row>
    <row r="365" customFormat="false" ht="15.75" hidden="false" customHeight="false" outlineLevel="0" collapsed="false">
      <c r="A365" s="96" t="n">
        <v>3</v>
      </c>
      <c r="B365" s="96" t="s">
        <v>97</v>
      </c>
      <c r="C365" s="96" t="s">
        <v>52</v>
      </c>
      <c r="D365" s="96" t="s">
        <v>1077</v>
      </c>
      <c r="E365" s="97"/>
      <c r="F365" s="97" t="s">
        <v>1140</v>
      </c>
      <c r="G365" s="98" t="s">
        <v>1141</v>
      </c>
      <c r="H365" s="98"/>
      <c r="I365" s="97" t="s">
        <v>101</v>
      </c>
      <c r="J365" s="99" t="s">
        <v>1080</v>
      </c>
      <c r="K365" s="100"/>
      <c r="L365" s="100"/>
      <c r="M365" s="64" t="s">
        <v>41</v>
      </c>
      <c r="N365" s="102"/>
      <c r="O365" s="102"/>
      <c r="P365" s="102"/>
      <c r="Q365" s="102"/>
      <c r="R365" s="102"/>
    </row>
    <row r="366" customFormat="false" ht="45" hidden="false" customHeight="true" outlineLevel="0" collapsed="false">
      <c r="A366" s="59" t="n">
        <v>2</v>
      </c>
      <c r="B366" s="59" t="s">
        <v>97</v>
      </c>
      <c r="C366" s="59" t="s">
        <v>52</v>
      </c>
      <c r="D366" s="59" t="s">
        <v>1077</v>
      </c>
      <c r="E366" s="60"/>
      <c r="F366" s="60" t="s">
        <v>1142</v>
      </c>
      <c r="G366" s="61" t="s">
        <v>1143</v>
      </c>
      <c r="H366" s="61" t="s">
        <v>1144</v>
      </c>
      <c r="I366" s="60" t="s">
        <v>101</v>
      </c>
      <c r="J366" s="62" t="s">
        <v>1080</v>
      </c>
      <c r="K366" s="63"/>
      <c r="L366" s="63"/>
      <c r="M366" s="64" t="s">
        <v>41</v>
      </c>
      <c r="N366" s="61"/>
      <c r="O366" s="61"/>
      <c r="P366" s="61"/>
      <c r="Q366" s="61"/>
      <c r="R366" s="61"/>
    </row>
    <row r="367" customFormat="false" ht="45" hidden="false" customHeight="true" outlineLevel="0" collapsed="false">
      <c r="A367" s="59" t="n">
        <v>2</v>
      </c>
      <c r="B367" s="59" t="s">
        <v>97</v>
      </c>
      <c r="C367" s="59" t="s">
        <v>52</v>
      </c>
      <c r="D367" s="59" t="s">
        <v>1077</v>
      </c>
      <c r="E367" s="60"/>
      <c r="F367" s="60" t="s">
        <v>1145</v>
      </c>
      <c r="G367" s="61" t="s">
        <v>1146</v>
      </c>
      <c r="H367" s="61" t="s">
        <v>1147</v>
      </c>
      <c r="I367" s="60" t="s">
        <v>101</v>
      </c>
      <c r="J367" s="62" t="s">
        <v>1080</v>
      </c>
      <c r="K367" s="63"/>
      <c r="L367" s="63"/>
      <c r="M367" s="64" t="s">
        <v>41</v>
      </c>
      <c r="N367" s="61"/>
      <c r="O367" s="61"/>
      <c r="P367" s="61"/>
      <c r="Q367" s="61"/>
      <c r="R367" s="61"/>
    </row>
    <row r="368" customFormat="false" ht="15.75" hidden="false" customHeight="false" outlineLevel="0" collapsed="false">
      <c r="A368" s="96" t="n">
        <v>3</v>
      </c>
      <c r="B368" s="96" t="s">
        <v>97</v>
      </c>
      <c r="C368" s="96" t="s">
        <v>52</v>
      </c>
      <c r="D368" s="96" t="s">
        <v>1077</v>
      </c>
      <c r="E368" s="97"/>
      <c r="F368" s="97" t="s">
        <v>1148</v>
      </c>
      <c r="G368" s="98" t="s">
        <v>1149</v>
      </c>
      <c r="H368" s="98"/>
      <c r="I368" s="97" t="s">
        <v>101</v>
      </c>
      <c r="J368" s="99" t="s">
        <v>1080</v>
      </c>
      <c r="K368" s="100"/>
      <c r="L368" s="100"/>
      <c r="M368" s="64" t="s">
        <v>41</v>
      </c>
      <c r="N368" s="102"/>
      <c r="O368" s="102"/>
      <c r="P368" s="102"/>
      <c r="Q368" s="102"/>
      <c r="R368" s="102"/>
    </row>
    <row r="369" customFormat="false" ht="45" hidden="false" customHeight="true" outlineLevel="0" collapsed="false">
      <c r="A369" s="59" t="n">
        <v>2</v>
      </c>
      <c r="B369" s="59" t="s">
        <v>97</v>
      </c>
      <c r="C369" s="59" t="s">
        <v>52</v>
      </c>
      <c r="D369" s="59" t="s">
        <v>1077</v>
      </c>
      <c r="E369" s="60"/>
      <c r="F369" s="60" t="s">
        <v>1150</v>
      </c>
      <c r="G369" s="61" t="s">
        <v>1151</v>
      </c>
      <c r="H369" s="61" t="s">
        <v>1152</v>
      </c>
      <c r="I369" s="60" t="s">
        <v>101</v>
      </c>
      <c r="J369" s="62" t="s">
        <v>1080</v>
      </c>
      <c r="K369" s="63"/>
      <c r="L369" s="63"/>
      <c r="M369" s="64" t="s">
        <v>41</v>
      </c>
      <c r="N369" s="61" t="s">
        <v>1153</v>
      </c>
      <c r="O369" s="61"/>
      <c r="P369" s="61"/>
      <c r="Q369" s="61"/>
      <c r="R369" s="61"/>
    </row>
    <row r="370" customFormat="false" ht="15.75" hidden="false" customHeight="false" outlineLevel="0" collapsed="false">
      <c r="A370" s="96" t="n">
        <v>3</v>
      </c>
      <c r="B370" s="96" t="s">
        <v>97</v>
      </c>
      <c r="C370" s="96" t="s">
        <v>52</v>
      </c>
      <c r="D370" s="96" t="s">
        <v>1077</v>
      </c>
      <c r="E370" s="97"/>
      <c r="F370" s="97" t="s">
        <v>1154</v>
      </c>
      <c r="G370" s="98" t="s">
        <v>1141</v>
      </c>
      <c r="H370" s="98"/>
      <c r="I370" s="97"/>
      <c r="J370" s="99"/>
      <c r="K370" s="100"/>
      <c r="L370" s="100"/>
      <c r="M370" s="64"/>
      <c r="N370" s="102"/>
      <c r="O370" s="102"/>
      <c r="P370" s="102"/>
      <c r="Q370" s="102"/>
      <c r="R370" s="102"/>
    </row>
    <row r="371" customFormat="false" ht="30" hidden="false" customHeight="true" outlineLevel="0" collapsed="false">
      <c r="A371" s="96" t="n">
        <v>3</v>
      </c>
      <c r="B371" s="96" t="s">
        <v>97</v>
      </c>
      <c r="C371" s="96" t="s">
        <v>52</v>
      </c>
      <c r="D371" s="96" t="s">
        <v>1077</v>
      </c>
      <c r="E371" s="97"/>
      <c r="F371" s="97" t="s">
        <v>1155</v>
      </c>
      <c r="G371" s="98" t="s">
        <v>1156</v>
      </c>
      <c r="H371" s="98" t="s">
        <v>1157</v>
      </c>
      <c r="I371" s="97"/>
      <c r="J371" s="99"/>
      <c r="K371" s="100"/>
      <c r="L371" s="100"/>
      <c r="M371" s="64"/>
      <c r="N371" s="102"/>
      <c r="O371" s="102"/>
      <c r="P371" s="102"/>
      <c r="Q371" s="102"/>
      <c r="R371" s="102"/>
    </row>
    <row r="372" customFormat="false" ht="30" hidden="false" customHeight="true" outlineLevel="0" collapsed="false">
      <c r="A372" s="59" t="n">
        <v>2</v>
      </c>
      <c r="B372" s="59" t="s">
        <v>97</v>
      </c>
      <c r="C372" s="59" t="s">
        <v>52</v>
      </c>
      <c r="D372" s="59" t="s">
        <v>1077</v>
      </c>
      <c r="E372" s="60"/>
      <c r="F372" s="60" t="s">
        <v>1158</v>
      </c>
      <c r="G372" s="61" t="s">
        <v>1159</v>
      </c>
      <c r="H372" s="61" t="s">
        <v>1160</v>
      </c>
      <c r="I372" s="60" t="s">
        <v>101</v>
      </c>
      <c r="J372" s="62" t="s">
        <v>1080</v>
      </c>
      <c r="K372" s="63"/>
      <c r="L372" s="63"/>
      <c r="M372" s="64" t="s">
        <v>41</v>
      </c>
      <c r="N372" s="61"/>
      <c r="O372" s="61"/>
      <c r="P372" s="61"/>
      <c r="Q372" s="61"/>
      <c r="R372" s="141"/>
    </row>
    <row r="373" customFormat="false" ht="84" hidden="false" customHeight="true" outlineLevel="0" collapsed="false">
      <c r="A373" s="96" t="n">
        <v>3</v>
      </c>
      <c r="B373" s="96" t="s">
        <v>97</v>
      </c>
      <c r="C373" s="96" t="s">
        <v>52</v>
      </c>
      <c r="D373" s="96" t="s">
        <v>1077</v>
      </c>
      <c r="E373" s="97"/>
      <c r="F373" s="97" t="s">
        <v>1140</v>
      </c>
      <c r="G373" s="98" t="s">
        <v>1161</v>
      </c>
      <c r="H373" s="98"/>
      <c r="I373" s="97" t="s">
        <v>101</v>
      </c>
      <c r="J373" s="99" t="s">
        <v>1080</v>
      </c>
      <c r="K373" s="100"/>
      <c r="L373" s="100"/>
      <c r="M373" s="64" t="s">
        <v>37</v>
      </c>
      <c r="N373" s="142" t="s">
        <v>1162</v>
      </c>
      <c r="O373" s="102"/>
      <c r="P373" s="102"/>
      <c r="Q373" s="102"/>
      <c r="R373" s="102"/>
    </row>
    <row r="374" customFormat="false" ht="15.75" hidden="false" customHeight="false" outlineLevel="0" collapsed="false">
      <c r="A374" s="48" t="n">
        <v>1</v>
      </c>
      <c r="B374" s="48" t="s">
        <v>11</v>
      </c>
      <c r="C374" s="48" t="s">
        <v>52</v>
      </c>
      <c r="D374" s="49" t="s">
        <v>1163</v>
      </c>
      <c r="E374" s="50"/>
      <c r="F374" s="48" t="s">
        <v>1164</v>
      </c>
      <c r="G374" s="51" t="s">
        <v>1165</v>
      </c>
      <c r="H374" s="50"/>
      <c r="I374" s="50" t="s">
        <v>77</v>
      </c>
      <c r="J374" s="48" t="s">
        <v>1166</v>
      </c>
      <c r="K374" s="52"/>
      <c r="L374" s="52" t="n">
        <v>45931</v>
      </c>
      <c r="M374" s="90" t="s">
        <v>31</v>
      </c>
      <c r="N374" s="50"/>
      <c r="O374" s="50"/>
      <c r="P374" s="50"/>
      <c r="Q374" s="50"/>
      <c r="R374" s="50"/>
    </row>
    <row r="375" customFormat="false" ht="15.75" hidden="false" customHeight="false" outlineLevel="0" collapsed="false">
      <c r="A375" s="48" t="n">
        <v>1</v>
      </c>
      <c r="B375" s="48" t="s">
        <v>11</v>
      </c>
      <c r="C375" s="48" t="s">
        <v>52</v>
      </c>
      <c r="D375" s="49" t="s">
        <v>1163</v>
      </c>
      <c r="E375" s="50"/>
      <c r="F375" s="48" t="s">
        <v>1167</v>
      </c>
      <c r="G375" s="51" t="s">
        <v>1168</v>
      </c>
      <c r="H375" s="50"/>
      <c r="I375" s="50" t="s">
        <v>77</v>
      </c>
      <c r="J375" s="48" t="s">
        <v>1166</v>
      </c>
      <c r="K375" s="52"/>
      <c r="L375" s="52" t="n">
        <v>45992</v>
      </c>
      <c r="M375" s="90" t="s">
        <v>31</v>
      </c>
      <c r="N375" s="50"/>
      <c r="O375" s="50"/>
      <c r="P375" s="50"/>
      <c r="Q375" s="50"/>
      <c r="R375" s="50"/>
    </row>
    <row r="376" customFormat="false" ht="27.75" hidden="false" customHeight="true" outlineLevel="0" collapsed="false">
      <c r="A376" s="48" t="n">
        <v>1</v>
      </c>
      <c r="B376" s="48" t="s">
        <v>11</v>
      </c>
      <c r="C376" s="48" t="s">
        <v>52</v>
      </c>
      <c r="D376" s="49" t="s">
        <v>1163</v>
      </c>
      <c r="E376" s="50"/>
      <c r="F376" s="48" t="s">
        <v>1169</v>
      </c>
      <c r="G376" s="51" t="s">
        <v>1170</v>
      </c>
      <c r="H376" s="50" t="s">
        <v>50</v>
      </c>
      <c r="I376" s="50" t="s">
        <v>77</v>
      </c>
      <c r="J376" s="48" t="s">
        <v>1166</v>
      </c>
      <c r="K376" s="52"/>
      <c r="L376" s="52" t="n">
        <v>46203</v>
      </c>
      <c r="M376" s="54" t="s">
        <v>34</v>
      </c>
      <c r="N376" s="50"/>
      <c r="O376" s="50"/>
      <c r="P376" s="50"/>
      <c r="Q376" s="50"/>
      <c r="R376" s="50"/>
    </row>
    <row r="377" customFormat="false" ht="27.75" hidden="false" customHeight="true" outlineLevel="0" collapsed="false">
      <c r="A377" s="49" t="n">
        <v>1</v>
      </c>
      <c r="B377" s="49" t="s">
        <v>11</v>
      </c>
      <c r="C377" s="49" t="s">
        <v>52</v>
      </c>
      <c r="D377" s="49" t="s">
        <v>1163</v>
      </c>
      <c r="E377" s="50"/>
      <c r="F377" s="48" t="s">
        <v>85</v>
      </c>
      <c r="G377" s="57" t="s">
        <v>1171</v>
      </c>
      <c r="H377" s="50" t="s">
        <v>1172</v>
      </c>
      <c r="I377" s="50" t="s">
        <v>77</v>
      </c>
      <c r="J377" s="48" t="s">
        <v>1166</v>
      </c>
      <c r="K377" s="52"/>
      <c r="L377" s="52" t="n">
        <v>46266</v>
      </c>
      <c r="M377" s="58" t="s">
        <v>39</v>
      </c>
      <c r="N377" s="50" t="s">
        <v>92</v>
      </c>
      <c r="O377" s="50"/>
      <c r="P377" s="50"/>
      <c r="Q377" s="50"/>
      <c r="R377" s="50"/>
    </row>
    <row r="378" customFormat="false" ht="27.75" hidden="false" customHeight="true" outlineLevel="0" collapsed="false">
      <c r="A378" s="49" t="n">
        <v>1</v>
      </c>
      <c r="B378" s="49" t="s">
        <v>11</v>
      </c>
      <c r="C378" s="49" t="s">
        <v>52</v>
      </c>
      <c r="D378" s="49" t="s">
        <v>1163</v>
      </c>
      <c r="E378" s="50"/>
      <c r="F378" s="48" t="s">
        <v>85</v>
      </c>
      <c r="G378" s="57" t="s">
        <v>1173</v>
      </c>
      <c r="H378" s="50" t="s">
        <v>1174</v>
      </c>
      <c r="I378" s="50" t="s">
        <v>77</v>
      </c>
      <c r="J378" s="48" t="s">
        <v>1166</v>
      </c>
      <c r="K378" s="52"/>
      <c r="L378" s="52" t="n">
        <v>46310</v>
      </c>
      <c r="M378" s="58" t="s">
        <v>39</v>
      </c>
      <c r="N378" s="50" t="s">
        <v>92</v>
      </c>
      <c r="O378" s="50"/>
      <c r="P378" s="50"/>
      <c r="Q378" s="50"/>
      <c r="R378" s="50"/>
    </row>
    <row r="379" customFormat="false" ht="27.75" hidden="false" customHeight="true" outlineLevel="0" collapsed="false">
      <c r="A379" s="49" t="n">
        <v>1</v>
      </c>
      <c r="B379" s="49" t="s">
        <v>11</v>
      </c>
      <c r="C379" s="49" t="s">
        <v>52</v>
      </c>
      <c r="D379" s="49" t="s">
        <v>1163</v>
      </c>
      <c r="E379" s="50"/>
      <c r="F379" s="48" t="s">
        <v>85</v>
      </c>
      <c r="G379" s="57" t="s">
        <v>1175</v>
      </c>
      <c r="H379" s="50" t="s">
        <v>1176</v>
      </c>
      <c r="I379" s="50" t="s">
        <v>77</v>
      </c>
      <c r="J379" s="48" t="s">
        <v>1166</v>
      </c>
      <c r="K379" s="52"/>
      <c r="L379" s="52" t="n">
        <v>46235</v>
      </c>
      <c r="M379" s="58" t="s">
        <v>39</v>
      </c>
      <c r="N379" s="50" t="s">
        <v>92</v>
      </c>
      <c r="O379" s="50"/>
      <c r="P379" s="50"/>
      <c r="Q379" s="50"/>
      <c r="R379" s="50"/>
    </row>
    <row r="380" customFormat="false" ht="27.75" hidden="false" customHeight="true" outlineLevel="0" collapsed="false">
      <c r="A380" s="49" t="n">
        <v>1</v>
      </c>
      <c r="B380" s="49" t="s">
        <v>11</v>
      </c>
      <c r="C380" s="49" t="s">
        <v>52</v>
      </c>
      <c r="D380" s="49" t="s">
        <v>1163</v>
      </c>
      <c r="E380" s="50"/>
      <c r="F380" s="48" t="s">
        <v>85</v>
      </c>
      <c r="G380" s="57" t="s">
        <v>1177</v>
      </c>
      <c r="H380" s="50" t="s">
        <v>1178</v>
      </c>
      <c r="I380" s="50" t="s">
        <v>77</v>
      </c>
      <c r="J380" s="48" t="s">
        <v>1166</v>
      </c>
      <c r="K380" s="52"/>
      <c r="L380" s="52" t="n">
        <v>46327</v>
      </c>
      <c r="M380" s="58" t="s">
        <v>39</v>
      </c>
      <c r="N380" s="50" t="s">
        <v>92</v>
      </c>
      <c r="O380" s="50"/>
      <c r="P380" s="50"/>
      <c r="Q380" s="50"/>
      <c r="R380" s="50"/>
    </row>
    <row r="381" customFormat="false" ht="27.75" hidden="false" customHeight="true" outlineLevel="0" collapsed="false">
      <c r="A381" s="49" t="n">
        <v>1</v>
      </c>
      <c r="B381" s="49" t="s">
        <v>11</v>
      </c>
      <c r="C381" s="49" t="s">
        <v>52</v>
      </c>
      <c r="D381" s="49" t="s">
        <v>1163</v>
      </c>
      <c r="E381" s="50"/>
      <c r="F381" s="48" t="s">
        <v>85</v>
      </c>
      <c r="G381" s="57" t="s">
        <v>1179</v>
      </c>
      <c r="H381" s="50" t="s">
        <v>1180</v>
      </c>
      <c r="I381" s="50" t="s">
        <v>77</v>
      </c>
      <c r="J381" s="48" t="s">
        <v>1166</v>
      </c>
      <c r="K381" s="52"/>
      <c r="L381" s="52" t="n">
        <v>46249</v>
      </c>
      <c r="M381" s="58" t="s">
        <v>39</v>
      </c>
      <c r="N381" s="50" t="s">
        <v>92</v>
      </c>
      <c r="O381" s="50"/>
      <c r="P381" s="50"/>
      <c r="Q381" s="50"/>
      <c r="R381" s="50"/>
    </row>
    <row r="382" customFormat="false" ht="27.75" hidden="false" customHeight="true" outlineLevel="0" collapsed="false">
      <c r="A382" s="49" t="n">
        <v>1</v>
      </c>
      <c r="B382" s="49" t="s">
        <v>11</v>
      </c>
      <c r="C382" s="49" t="s">
        <v>52</v>
      </c>
      <c r="D382" s="49" t="s">
        <v>1163</v>
      </c>
      <c r="E382" s="50"/>
      <c r="F382" s="48" t="s">
        <v>85</v>
      </c>
      <c r="G382" s="57" t="s">
        <v>1181</v>
      </c>
      <c r="H382" s="50" t="s">
        <v>1182</v>
      </c>
      <c r="I382" s="50" t="s">
        <v>77</v>
      </c>
      <c r="J382" s="48" t="s">
        <v>1166</v>
      </c>
      <c r="K382" s="52"/>
      <c r="L382" s="52" t="n">
        <v>46280</v>
      </c>
      <c r="M382" s="58" t="s">
        <v>39</v>
      </c>
      <c r="N382" s="50" t="s">
        <v>92</v>
      </c>
      <c r="O382" s="50"/>
      <c r="P382" s="50"/>
      <c r="Q382" s="50"/>
      <c r="R382" s="50"/>
    </row>
    <row r="383" customFormat="false" ht="30" hidden="false" customHeight="true" outlineLevel="0" collapsed="false">
      <c r="A383" s="59" t="n">
        <v>2</v>
      </c>
      <c r="B383" s="59" t="s">
        <v>97</v>
      </c>
      <c r="C383" s="59" t="s">
        <v>52</v>
      </c>
      <c r="D383" s="59" t="s">
        <v>1163</v>
      </c>
      <c r="E383" s="60"/>
      <c r="F383" s="60" t="s">
        <v>1183</v>
      </c>
      <c r="G383" s="61" t="s">
        <v>1184</v>
      </c>
      <c r="H383" s="61" t="s">
        <v>1185</v>
      </c>
      <c r="I383" s="60" t="s">
        <v>101</v>
      </c>
      <c r="J383" s="62" t="s">
        <v>1166</v>
      </c>
      <c r="K383" s="63"/>
      <c r="L383" s="63"/>
      <c r="M383" s="138" t="s">
        <v>34</v>
      </c>
      <c r="N383" s="61"/>
      <c r="O383" s="61"/>
      <c r="P383" s="61"/>
      <c r="Q383" s="61"/>
      <c r="R383" s="61"/>
    </row>
    <row r="384" customFormat="false" ht="15.75" hidden="false" customHeight="false" outlineLevel="0" collapsed="false">
      <c r="A384" s="96" t="n">
        <v>3</v>
      </c>
      <c r="B384" s="96" t="s">
        <v>97</v>
      </c>
      <c r="C384" s="96" t="s">
        <v>52</v>
      </c>
      <c r="D384" s="96" t="s">
        <v>1163</v>
      </c>
      <c r="E384" s="97"/>
      <c r="F384" s="97" t="s">
        <v>1186</v>
      </c>
      <c r="G384" s="98" t="s">
        <v>647</v>
      </c>
      <c r="H384" s="98" t="s">
        <v>648</v>
      </c>
      <c r="I384" s="97" t="s">
        <v>101</v>
      </c>
      <c r="J384" s="99" t="s">
        <v>1166</v>
      </c>
      <c r="K384" s="100"/>
      <c r="L384" s="100" t="n">
        <v>46225</v>
      </c>
      <c r="M384" s="101" t="s">
        <v>31</v>
      </c>
      <c r="N384" s="102" t="s">
        <v>650</v>
      </c>
      <c r="O384" s="102"/>
      <c r="P384" s="102"/>
      <c r="Q384" s="102"/>
      <c r="R384" s="102"/>
    </row>
    <row r="385" customFormat="false" ht="30" hidden="false" customHeight="true" outlineLevel="0" collapsed="false">
      <c r="A385" s="59" t="n">
        <v>2</v>
      </c>
      <c r="B385" s="59" t="s">
        <v>97</v>
      </c>
      <c r="C385" s="59" t="s">
        <v>52</v>
      </c>
      <c r="D385" s="59" t="s">
        <v>1163</v>
      </c>
      <c r="E385" s="60"/>
      <c r="F385" s="60" t="s">
        <v>1187</v>
      </c>
      <c r="G385" s="61" t="s">
        <v>1188</v>
      </c>
      <c r="H385" s="61" t="s">
        <v>1189</v>
      </c>
      <c r="I385" s="60" t="s">
        <v>101</v>
      </c>
      <c r="J385" s="62" t="s">
        <v>1166</v>
      </c>
      <c r="K385" s="63"/>
      <c r="L385" s="63"/>
      <c r="M385" s="64" t="s">
        <v>41</v>
      </c>
      <c r="N385" s="61"/>
      <c r="O385" s="61"/>
      <c r="P385" s="61"/>
      <c r="Q385" s="61"/>
      <c r="R385" s="61"/>
    </row>
    <row r="386" customFormat="false" ht="30" hidden="false" customHeight="true" outlineLevel="0" collapsed="false">
      <c r="A386" s="59" t="n">
        <v>2</v>
      </c>
      <c r="B386" s="59" t="s">
        <v>97</v>
      </c>
      <c r="C386" s="59" t="s">
        <v>52</v>
      </c>
      <c r="D386" s="59" t="s">
        <v>1163</v>
      </c>
      <c r="E386" s="60"/>
      <c r="F386" s="60" t="s">
        <v>1190</v>
      </c>
      <c r="G386" s="61" t="s">
        <v>1191</v>
      </c>
      <c r="H386" s="61" t="s">
        <v>1192</v>
      </c>
      <c r="I386" s="60" t="s">
        <v>101</v>
      </c>
      <c r="J386" s="62" t="s">
        <v>1166</v>
      </c>
      <c r="K386" s="63"/>
      <c r="L386" s="63"/>
      <c r="M386" s="64" t="s">
        <v>41</v>
      </c>
      <c r="N386" s="61"/>
      <c r="O386" s="61"/>
      <c r="P386" s="61"/>
      <c r="Q386" s="61"/>
      <c r="R386" s="61"/>
    </row>
    <row r="387" customFormat="false" ht="30" hidden="false" customHeight="true" outlineLevel="0" collapsed="false">
      <c r="A387" s="59" t="n">
        <v>2</v>
      </c>
      <c r="B387" s="59" t="s">
        <v>97</v>
      </c>
      <c r="C387" s="59" t="s">
        <v>52</v>
      </c>
      <c r="D387" s="59" t="s">
        <v>1163</v>
      </c>
      <c r="E387" s="60"/>
      <c r="F387" s="60" t="s">
        <v>1193</v>
      </c>
      <c r="G387" s="61" t="s">
        <v>1194</v>
      </c>
      <c r="H387" s="61" t="s">
        <v>1195</v>
      </c>
      <c r="I387" s="60" t="s">
        <v>101</v>
      </c>
      <c r="J387" s="62" t="s">
        <v>1166</v>
      </c>
      <c r="K387" s="63"/>
      <c r="L387" s="63"/>
      <c r="M387" s="64" t="s">
        <v>41</v>
      </c>
      <c r="N387" s="61"/>
      <c r="O387" s="61"/>
      <c r="P387" s="61"/>
      <c r="Q387" s="61"/>
      <c r="R387" s="61"/>
    </row>
    <row r="388" customFormat="false" ht="30" hidden="false" customHeight="true" outlineLevel="0" collapsed="false">
      <c r="A388" s="59" t="n">
        <v>2</v>
      </c>
      <c r="B388" s="59" t="s">
        <v>97</v>
      </c>
      <c r="C388" s="59" t="s">
        <v>52</v>
      </c>
      <c r="D388" s="59" t="s">
        <v>1163</v>
      </c>
      <c r="E388" s="60"/>
      <c r="F388" s="60" t="s">
        <v>1196</v>
      </c>
      <c r="G388" s="61" t="s">
        <v>1197</v>
      </c>
      <c r="H388" s="61" t="s">
        <v>1198</v>
      </c>
      <c r="I388" s="60" t="s">
        <v>101</v>
      </c>
      <c r="J388" s="62" t="s">
        <v>1166</v>
      </c>
      <c r="K388" s="63"/>
      <c r="L388" s="63"/>
      <c r="M388" s="64" t="s">
        <v>41</v>
      </c>
      <c r="N388" s="61"/>
      <c r="O388" s="61"/>
      <c r="P388" s="61"/>
      <c r="Q388" s="61"/>
      <c r="R388" s="61"/>
    </row>
    <row r="389" customFormat="false" ht="30" hidden="false" customHeight="true" outlineLevel="0" collapsed="false">
      <c r="A389" s="59" t="n">
        <v>2</v>
      </c>
      <c r="B389" s="59" t="s">
        <v>97</v>
      </c>
      <c r="C389" s="59" t="s">
        <v>52</v>
      </c>
      <c r="D389" s="59" t="s">
        <v>1163</v>
      </c>
      <c r="E389" s="60"/>
      <c r="F389" s="60" t="s">
        <v>1199</v>
      </c>
      <c r="G389" s="61" t="s">
        <v>1200</v>
      </c>
      <c r="H389" s="61" t="s">
        <v>1201</v>
      </c>
      <c r="I389" s="60" t="s">
        <v>101</v>
      </c>
      <c r="J389" s="62" t="s">
        <v>1166</v>
      </c>
      <c r="K389" s="63"/>
      <c r="L389" s="63"/>
      <c r="M389" s="64" t="s">
        <v>41</v>
      </c>
      <c r="N389" s="61"/>
      <c r="O389" s="61"/>
      <c r="P389" s="61"/>
      <c r="Q389" s="61"/>
      <c r="R389" s="61"/>
    </row>
    <row r="390" customFormat="false" ht="30" hidden="false" customHeight="true" outlineLevel="0" collapsed="false">
      <c r="A390" s="59" t="n">
        <v>2</v>
      </c>
      <c r="B390" s="59" t="s">
        <v>97</v>
      </c>
      <c r="C390" s="59" t="s">
        <v>52</v>
      </c>
      <c r="D390" s="59" t="s">
        <v>1163</v>
      </c>
      <c r="E390" s="60"/>
      <c r="F390" s="60" t="s">
        <v>1202</v>
      </c>
      <c r="G390" s="61" t="s">
        <v>1203</v>
      </c>
      <c r="H390" s="61" t="s">
        <v>1204</v>
      </c>
      <c r="I390" s="60" t="s">
        <v>101</v>
      </c>
      <c r="J390" s="62" t="s">
        <v>1166</v>
      </c>
      <c r="K390" s="63"/>
      <c r="L390" s="63"/>
      <c r="M390" s="64" t="s">
        <v>41</v>
      </c>
      <c r="N390" s="61"/>
      <c r="O390" s="61"/>
      <c r="P390" s="61"/>
      <c r="Q390" s="61"/>
      <c r="R390" s="61"/>
    </row>
    <row r="391" customFormat="false" ht="30" hidden="false" customHeight="true" outlineLevel="0" collapsed="false">
      <c r="A391" s="59" t="n">
        <v>2</v>
      </c>
      <c r="B391" s="59" t="s">
        <v>97</v>
      </c>
      <c r="C391" s="59" t="s">
        <v>52</v>
      </c>
      <c r="D391" s="59" t="s">
        <v>1163</v>
      </c>
      <c r="E391" s="60"/>
      <c r="F391" s="60" t="s">
        <v>1205</v>
      </c>
      <c r="G391" s="61" t="s">
        <v>1206</v>
      </c>
      <c r="H391" s="61" t="s">
        <v>1207</v>
      </c>
      <c r="I391" s="60" t="s">
        <v>101</v>
      </c>
      <c r="J391" s="62" t="s">
        <v>1166</v>
      </c>
      <c r="K391" s="63"/>
      <c r="L391" s="63"/>
      <c r="M391" s="64" t="s">
        <v>41</v>
      </c>
      <c r="N391" s="61"/>
      <c r="O391" s="61"/>
      <c r="P391" s="61"/>
      <c r="Q391" s="61"/>
      <c r="R391" s="61"/>
    </row>
    <row r="392" customFormat="false" ht="45" hidden="false" customHeight="true" outlineLevel="0" collapsed="false">
      <c r="A392" s="59" t="n">
        <v>2</v>
      </c>
      <c r="B392" s="59" t="s">
        <v>97</v>
      </c>
      <c r="C392" s="59" t="s">
        <v>52</v>
      </c>
      <c r="D392" s="59" t="s">
        <v>1163</v>
      </c>
      <c r="E392" s="60"/>
      <c r="F392" s="60" t="s">
        <v>1208</v>
      </c>
      <c r="G392" s="61" t="s">
        <v>1209</v>
      </c>
      <c r="H392" s="61" t="s">
        <v>1210</v>
      </c>
      <c r="I392" s="60" t="s">
        <v>101</v>
      </c>
      <c r="J392" s="62" t="s">
        <v>1166</v>
      </c>
      <c r="K392" s="63"/>
      <c r="L392" s="63"/>
      <c r="M392" s="64" t="s">
        <v>41</v>
      </c>
      <c r="N392" s="61"/>
      <c r="O392" s="61"/>
      <c r="P392" s="61"/>
      <c r="Q392" s="61"/>
      <c r="R392" s="61"/>
    </row>
    <row r="393" customFormat="false" ht="45" hidden="false" customHeight="true" outlineLevel="0" collapsed="false">
      <c r="A393" s="59" t="n">
        <v>2</v>
      </c>
      <c r="B393" s="59" t="s">
        <v>97</v>
      </c>
      <c r="C393" s="59" t="s">
        <v>52</v>
      </c>
      <c r="D393" s="59" t="s">
        <v>1163</v>
      </c>
      <c r="E393" s="60"/>
      <c r="F393" s="60" t="s">
        <v>1211</v>
      </c>
      <c r="G393" s="61" t="s">
        <v>1212</v>
      </c>
      <c r="H393" s="61" t="s">
        <v>1213</v>
      </c>
      <c r="I393" s="60" t="s">
        <v>101</v>
      </c>
      <c r="J393" s="62" t="s">
        <v>1166</v>
      </c>
      <c r="K393" s="63"/>
      <c r="L393" s="63"/>
      <c r="M393" s="64" t="s">
        <v>41</v>
      </c>
      <c r="N393" s="61"/>
      <c r="O393" s="61"/>
      <c r="P393" s="61"/>
      <c r="Q393" s="61"/>
      <c r="R393" s="61"/>
    </row>
    <row r="394" customFormat="false" ht="15.75" hidden="false" customHeight="false" outlineLevel="0" collapsed="false">
      <c r="A394" s="48" t="n">
        <v>1</v>
      </c>
      <c r="B394" s="48" t="s">
        <v>11</v>
      </c>
      <c r="C394" s="48" t="s">
        <v>52</v>
      </c>
      <c r="D394" s="49" t="s">
        <v>1214</v>
      </c>
      <c r="E394" s="50"/>
      <c r="F394" s="48" t="s">
        <v>1215</v>
      </c>
      <c r="G394" s="51" t="s">
        <v>1216</v>
      </c>
      <c r="H394" s="50"/>
      <c r="I394" s="50" t="s">
        <v>77</v>
      </c>
      <c r="J394" s="48" t="s">
        <v>1166</v>
      </c>
      <c r="K394" s="52"/>
      <c r="L394" s="52" t="n">
        <v>46203</v>
      </c>
      <c r="M394" s="54" t="s">
        <v>34</v>
      </c>
      <c r="N394" s="50"/>
      <c r="O394" s="50"/>
      <c r="P394" s="50"/>
      <c r="Q394" s="50"/>
      <c r="R394" s="50"/>
    </row>
    <row r="395" customFormat="false" ht="42" hidden="false" customHeight="true" outlineLevel="0" collapsed="false">
      <c r="A395" s="48" t="n">
        <v>1</v>
      </c>
      <c r="B395" s="48" t="s">
        <v>11</v>
      </c>
      <c r="C395" s="48" t="s">
        <v>52</v>
      </c>
      <c r="D395" s="49" t="s">
        <v>1214</v>
      </c>
      <c r="E395" s="50"/>
      <c r="F395" s="48" t="s">
        <v>1217</v>
      </c>
      <c r="G395" s="51" t="s">
        <v>1218</v>
      </c>
      <c r="H395" s="50"/>
      <c r="I395" s="50" t="s">
        <v>77</v>
      </c>
      <c r="J395" s="48" t="s">
        <v>1166</v>
      </c>
      <c r="K395" s="52"/>
      <c r="L395" s="52" t="n">
        <v>46478</v>
      </c>
      <c r="M395" s="54" t="s">
        <v>34</v>
      </c>
      <c r="N395" s="50"/>
      <c r="O395" s="50"/>
      <c r="P395" s="50"/>
      <c r="Q395" s="50"/>
      <c r="R395" s="50"/>
    </row>
    <row r="396" customFormat="false" ht="27.75" hidden="false" customHeight="true" outlineLevel="0" collapsed="false">
      <c r="A396" s="48" t="n">
        <v>1</v>
      </c>
      <c r="B396" s="48" t="s">
        <v>11</v>
      </c>
      <c r="C396" s="48" t="s">
        <v>52</v>
      </c>
      <c r="D396" s="49" t="s">
        <v>1214</v>
      </c>
      <c r="E396" s="50"/>
      <c r="F396" s="48" t="s">
        <v>1219</v>
      </c>
      <c r="G396" s="51" t="s">
        <v>1220</v>
      </c>
      <c r="H396" s="50"/>
      <c r="I396" s="50" t="s">
        <v>77</v>
      </c>
      <c r="J396" s="48" t="s">
        <v>1166</v>
      </c>
      <c r="K396" s="52"/>
      <c r="L396" s="52" t="n">
        <v>46478</v>
      </c>
      <c r="M396" s="54" t="s">
        <v>34</v>
      </c>
      <c r="N396" s="50"/>
      <c r="O396" s="50"/>
      <c r="P396" s="50"/>
      <c r="Q396" s="50"/>
      <c r="R396" s="50"/>
    </row>
    <row r="397" customFormat="false" ht="15.75" hidden="false" customHeight="false" outlineLevel="0" collapsed="false">
      <c r="A397" s="48" t="n">
        <v>1</v>
      </c>
      <c r="B397" s="48" t="s">
        <v>11</v>
      </c>
      <c r="C397" s="48" t="s">
        <v>52</v>
      </c>
      <c r="D397" s="49" t="s">
        <v>1214</v>
      </c>
      <c r="E397" s="50"/>
      <c r="F397" s="48" t="s">
        <v>1221</v>
      </c>
      <c r="G397" s="134" t="s">
        <v>1222</v>
      </c>
      <c r="H397" s="93"/>
      <c r="I397" s="93" t="s">
        <v>77</v>
      </c>
      <c r="J397" s="48" t="s">
        <v>1166</v>
      </c>
      <c r="K397" s="52"/>
      <c r="L397" s="52" t="n">
        <v>46357</v>
      </c>
      <c r="M397" s="54" t="s">
        <v>34</v>
      </c>
      <c r="N397" s="50"/>
      <c r="O397" s="50"/>
      <c r="P397" s="50"/>
      <c r="Q397" s="50"/>
      <c r="R397" s="50"/>
    </row>
    <row r="398" customFormat="false" ht="27.75" hidden="false" customHeight="true" outlineLevel="0" collapsed="false">
      <c r="A398" s="48" t="n">
        <v>1</v>
      </c>
      <c r="B398" s="48" t="s">
        <v>11</v>
      </c>
      <c r="C398" s="48" t="s">
        <v>52</v>
      </c>
      <c r="D398" s="49" t="s">
        <v>1214</v>
      </c>
      <c r="E398" s="91"/>
      <c r="F398" s="48" t="s">
        <v>85</v>
      </c>
      <c r="G398" s="57" t="s">
        <v>1223</v>
      </c>
      <c r="H398" s="50" t="s">
        <v>1224</v>
      </c>
      <c r="I398" s="93" t="s">
        <v>77</v>
      </c>
      <c r="J398" s="48" t="s">
        <v>1166</v>
      </c>
      <c r="K398" s="52"/>
      <c r="L398" s="52" t="n">
        <v>46266</v>
      </c>
      <c r="M398" s="58" t="s">
        <v>39</v>
      </c>
      <c r="N398" s="93" t="s">
        <v>92</v>
      </c>
      <c r="O398" s="93"/>
      <c r="P398" s="93"/>
      <c r="Q398" s="93"/>
      <c r="R398" s="93"/>
    </row>
    <row r="399" customFormat="false" ht="27.75" hidden="false" customHeight="true" outlineLevel="0" collapsed="false">
      <c r="A399" s="48" t="n">
        <v>1</v>
      </c>
      <c r="B399" s="48" t="s">
        <v>11</v>
      </c>
      <c r="C399" s="48" t="s">
        <v>52</v>
      </c>
      <c r="D399" s="49" t="s">
        <v>1214</v>
      </c>
      <c r="E399" s="91"/>
      <c r="F399" s="48" t="s">
        <v>85</v>
      </c>
      <c r="G399" s="57" t="s">
        <v>1225</v>
      </c>
      <c r="H399" s="50" t="s">
        <v>1226</v>
      </c>
      <c r="I399" s="93" t="s">
        <v>77</v>
      </c>
      <c r="J399" s="48" t="s">
        <v>1166</v>
      </c>
      <c r="K399" s="52"/>
      <c r="L399" s="52" t="n">
        <v>46327</v>
      </c>
      <c r="M399" s="58" t="s">
        <v>39</v>
      </c>
      <c r="N399" s="93" t="s">
        <v>92</v>
      </c>
      <c r="O399" s="93"/>
      <c r="P399" s="93"/>
      <c r="Q399" s="93"/>
      <c r="R399" s="93"/>
    </row>
    <row r="400" customFormat="false" ht="15.75" hidden="false" customHeight="false" outlineLevel="0" collapsed="false">
      <c r="A400" s="48" t="n">
        <v>1</v>
      </c>
      <c r="B400" s="48" t="s">
        <v>11</v>
      </c>
      <c r="C400" s="48" t="s">
        <v>52</v>
      </c>
      <c r="D400" s="49" t="s">
        <v>1214</v>
      </c>
      <c r="E400" s="48"/>
      <c r="F400" s="48" t="s">
        <v>85</v>
      </c>
      <c r="G400" s="57" t="s">
        <v>1227</v>
      </c>
      <c r="H400" s="50" t="s">
        <v>1228</v>
      </c>
      <c r="I400" s="50" t="s">
        <v>77</v>
      </c>
      <c r="J400" s="48" t="s">
        <v>1166</v>
      </c>
      <c r="K400" s="52"/>
      <c r="L400" s="52" t="n">
        <v>46280</v>
      </c>
      <c r="M400" s="58" t="s">
        <v>39</v>
      </c>
      <c r="N400" s="50" t="s">
        <v>92</v>
      </c>
      <c r="O400" s="50"/>
      <c r="P400" s="50"/>
      <c r="Q400" s="50"/>
      <c r="R400" s="50"/>
    </row>
    <row r="401" customFormat="false" ht="15.75" hidden="false" customHeight="false" outlineLevel="0" collapsed="false">
      <c r="A401" s="48" t="n">
        <v>1</v>
      </c>
      <c r="B401" s="48" t="s">
        <v>11</v>
      </c>
      <c r="C401" s="48" t="s">
        <v>52</v>
      </c>
      <c r="D401" s="49" t="s">
        <v>1214</v>
      </c>
      <c r="E401" s="50"/>
      <c r="F401" s="48" t="s">
        <v>85</v>
      </c>
      <c r="G401" s="51" t="s">
        <v>1229</v>
      </c>
      <c r="H401" s="50"/>
      <c r="I401" s="50" t="s">
        <v>77</v>
      </c>
      <c r="J401" s="48" t="s">
        <v>1166</v>
      </c>
      <c r="K401" s="52"/>
      <c r="L401" s="52"/>
      <c r="M401" s="54" t="s">
        <v>39</v>
      </c>
      <c r="N401" s="50" t="s">
        <v>1230</v>
      </c>
      <c r="O401" s="50"/>
      <c r="P401" s="50"/>
      <c r="Q401" s="50"/>
      <c r="R401" s="50"/>
    </row>
    <row r="402" customFormat="false" ht="15.75" hidden="false" customHeight="false" outlineLevel="0" collapsed="false">
      <c r="A402" s="48" t="n">
        <v>1</v>
      </c>
      <c r="B402" s="48" t="s">
        <v>11</v>
      </c>
      <c r="C402" s="48" t="s">
        <v>52</v>
      </c>
      <c r="D402" s="49" t="s">
        <v>1214</v>
      </c>
      <c r="E402" s="50"/>
      <c r="F402" s="48" t="s">
        <v>85</v>
      </c>
      <c r="G402" s="51" t="s">
        <v>1231</v>
      </c>
      <c r="H402" s="50"/>
      <c r="I402" s="50" t="s">
        <v>77</v>
      </c>
      <c r="J402" s="48" t="s">
        <v>1166</v>
      </c>
      <c r="K402" s="52"/>
      <c r="L402" s="52"/>
      <c r="M402" s="54" t="s">
        <v>39</v>
      </c>
      <c r="N402" s="50" t="s">
        <v>1230</v>
      </c>
      <c r="O402" s="50"/>
      <c r="P402" s="50"/>
      <c r="Q402" s="50"/>
      <c r="R402" s="50"/>
    </row>
    <row r="403" customFormat="false" ht="15.75" hidden="false" customHeight="false" outlineLevel="0" collapsed="false">
      <c r="A403" s="48" t="n">
        <v>1</v>
      </c>
      <c r="B403" s="48" t="s">
        <v>11</v>
      </c>
      <c r="C403" s="48" t="s">
        <v>52</v>
      </c>
      <c r="D403" s="49" t="s">
        <v>1214</v>
      </c>
      <c r="E403" s="50"/>
      <c r="F403" s="48" t="s">
        <v>85</v>
      </c>
      <c r="G403" s="51" t="s">
        <v>1232</v>
      </c>
      <c r="H403" s="50"/>
      <c r="I403" s="50" t="s">
        <v>77</v>
      </c>
      <c r="J403" s="48" t="s">
        <v>1166</v>
      </c>
      <c r="K403" s="52"/>
      <c r="L403" s="52"/>
      <c r="M403" s="54" t="s">
        <v>39</v>
      </c>
      <c r="N403" s="50" t="s">
        <v>1230</v>
      </c>
      <c r="O403" s="50"/>
      <c r="P403" s="50"/>
      <c r="Q403" s="50"/>
      <c r="R403" s="50"/>
    </row>
    <row r="404" customFormat="false" ht="15.75" hidden="false" customHeight="false" outlineLevel="0" collapsed="false">
      <c r="A404" s="48" t="n">
        <v>1</v>
      </c>
      <c r="B404" s="48" t="s">
        <v>11</v>
      </c>
      <c r="C404" s="48" t="s">
        <v>52</v>
      </c>
      <c r="D404" s="49" t="s">
        <v>1214</v>
      </c>
      <c r="E404" s="50"/>
      <c r="F404" s="48" t="s">
        <v>85</v>
      </c>
      <c r="G404" s="51" t="s">
        <v>1233</v>
      </c>
      <c r="H404" s="50"/>
      <c r="I404" s="50" t="s">
        <v>77</v>
      </c>
      <c r="J404" s="48" t="s">
        <v>1166</v>
      </c>
      <c r="K404" s="52"/>
      <c r="L404" s="52"/>
      <c r="M404" s="54" t="s">
        <v>39</v>
      </c>
      <c r="N404" s="50" t="s">
        <v>1230</v>
      </c>
      <c r="O404" s="50"/>
      <c r="P404" s="50"/>
      <c r="Q404" s="50"/>
      <c r="R404" s="50"/>
    </row>
    <row r="405" customFormat="false" ht="30" hidden="false" customHeight="true" outlineLevel="0" collapsed="false">
      <c r="A405" s="59" t="n">
        <v>2</v>
      </c>
      <c r="B405" s="59" t="s">
        <v>97</v>
      </c>
      <c r="C405" s="59" t="s">
        <v>52</v>
      </c>
      <c r="D405" s="59" t="s">
        <v>1214</v>
      </c>
      <c r="E405" s="60"/>
      <c r="F405" s="60" t="s">
        <v>1234</v>
      </c>
      <c r="G405" s="61" t="s">
        <v>1235</v>
      </c>
      <c r="H405" s="61" t="s">
        <v>1236</v>
      </c>
      <c r="I405" s="60" t="s">
        <v>101</v>
      </c>
      <c r="J405" s="62" t="s">
        <v>1166</v>
      </c>
      <c r="K405" s="143" t="n">
        <v>46204</v>
      </c>
      <c r="L405" s="143" t="n">
        <v>46220</v>
      </c>
      <c r="M405" s="101" t="s">
        <v>31</v>
      </c>
      <c r="N405" s="61"/>
      <c r="O405" s="61"/>
      <c r="P405" s="61"/>
      <c r="Q405" s="61"/>
      <c r="R405" s="61"/>
    </row>
    <row r="406" customFormat="false" ht="15.75" hidden="false" customHeight="false" outlineLevel="0" collapsed="false">
      <c r="A406" s="96" t="n">
        <v>3</v>
      </c>
      <c r="B406" s="96" t="s">
        <v>97</v>
      </c>
      <c r="C406" s="96" t="s">
        <v>52</v>
      </c>
      <c r="D406" s="96" t="s">
        <v>1214</v>
      </c>
      <c r="E406" s="97"/>
      <c r="F406" s="97" t="s">
        <v>1237</v>
      </c>
      <c r="G406" s="98" t="s">
        <v>647</v>
      </c>
      <c r="H406" s="98" t="s">
        <v>648</v>
      </c>
      <c r="I406" s="97" t="s">
        <v>101</v>
      </c>
      <c r="J406" s="99" t="s">
        <v>1166</v>
      </c>
      <c r="K406" s="144"/>
      <c r="L406" s="144" t="n">
        <v>46226</v>
      </c>
      <c r="M406" s="101" t="s">
        <v>31</v>
      </c>
      <c r="N406" s="102" t="s">
        <v>650</v>
      </c>
      <c r="O406" s="102"/>
      <c r="P406" s="102"/>
      <c r="Q406" s="102" t="s">
        <v>630</v>
      </c>
      <c r="R406" s="102"/>
    </row>
    <row r="407" customFormat="false" ht="45" hidden="false" customHeight="true" outlineLevel="0" collapsed="false">
      <c r="A407" s="59" t="n">
        <v>2</v>
      </c>
      <c r="B407" s="59" t="s">
        <v>97</v>
      </c>
      <c r="C407" s="59" t="s">
        <v>52</v>
      </c>
      <c r="D407" s="59" t="s">
        <v>1214</v>
      </c>
      <c r="E407" s="60"/>
      <c r="F407" s="60" t="s">
        <v>1238</v>
      </c>
      <c r="G407" s="61" t="s">
        <v>1239</v>
      </c>
      <c r="H407" s="61" t="s">
        <v>1240</v>
      </c>
      <c r="I407" s="60" t="s">
        <v>101</v>
      </c>
      <c r="J407" s="62" t="s">
        <v>1166</v>
      </c>
      <c r="K407" s="143" t="n">
        <v>46209</v>
      </c>
      <c r="L407" s="143" t="n">
        <v>46248</v>
      </c>
      <c r="M407" s="138" t="s">
        <v>34</v>
      </c>
      <c r="N407" s="61" t="s">
        <v>50</v>
      </c>
      <c r="O407" s="61"/>
      <c r="P407" s="61"/>
      <c r="Q407" s="61"/>
      <c r="R407" s="61"/>
    </row>
    <row r="408" customFormat="false" ht="30" hidden="false" customHeight="true" outlineLevel="0" collapsed="false">
      <c r="A408" s="59" t="n">
        <v>2</v>
      </c>
      <c r="B408" s="59" t="s">
        <v>97</v>
      </c>
      <c r="C408" s="59" t="s">
        <v>52</v>
      </c>
      <c r="D408" s="59" t="s">
        <v>1214</v>
      </c>
      <c r="E408" s="60"/>
      <c r="F408" s="60" t="s">
        <v>1241</v>
      </c>
      <c r="G408" s="61" t="s">
        <v>1242</v>
      </c>
      <c r="H408" s="61" t="s">
        <v>1243</v>
      </c>
      <c r="I408" s="60" t="s">
        <v>101</v>
      </c>
      <c r="J408" s="62" t="s">
        <v>1166</v>
      </c>
      <c r="K408" s="143" t="n">
        <v>46211</v>
      </c>
      <c r="L408" s="143" t="n">
        <v>46327</v>
      </c>
      <c r="M408" s="64" t="s">
        <v>41</v>
      </c>
      <c r="N408" s="61"/>
      <c r="O408" s="61"/>
      <c r="P408" s="61"/>
      <c r="Q408" s="61"/>
      <c r="R408" s="61"/>
    </row>
    <row r="409" customFormat="false" ht="30" hidden="false" customHeight="true" outlineLevel="0" collapsed="false">
      <c r="A409" s="96" t="n">
        <v>3</v>
      </c>
      <c r="B409" s="96" t="s">
        <v>97</v>
      </c>
      <c r="C409" s="96" t="s">
        <v>52</v>
      </c>
      <c r="D409" s="96" t="s">
        <v>1214</v>
      </c>
      <c r="E409" s="97"/>
      <c r="F409" s="97" t="s">
        <v>1244</v>
      </c>
      <c r="G409" s="98" t="s">
        <v>1245</v>
      </c>
      <c r="H409" s="98" t="s">
        <v>1246</v>
      </c>
      <c r="I409" s="97" t="s">
        <v>101</v>
      </c>
      <c r="J409" s="99" t="s">
        <v>1166</v>
      </c>
      <c r="K409" s="144" t="n">
        <v>46211</v>
      </c>
      <c r="L409" s="144" t="n">
        <v>46220</v>
      </c>
      <c r="M409" s="101" t="s">
        <v>31</v>
      </c>
      <c r="N409" s="102" t="s">
        <v>1247</v>
      </c>
      <c r="O409" s="102"/>
      <c r="P409" s="102"/>
      <c r="Q409" s="102" t="s">
        <v>1248</v>
      </c>
      <c r="R409" s="102"/>
    </row>
    <row r="410" customFormat="false" ht="30" hidden="false" customHeight="true" outlineLevel="0" collapsed="false">
      <c r="A410" s="59" t="n">
        <v>2</v>
      </c>
      <c r="B410" s="59" t="s">
        <v>97</v>
      </c>
      <c r="C410" s="59" t="s">
        <v>52</v>
      </c>
      <c r="D410" s="59" t="s">
        <v>1214</v>
      </c>
      <c r="E410" s="60"/>
      <c r="F410" s="60" t="s">
        <v>1249</v>
      </c>
      <c r="G410" s="61" t="s">
        <v>1250</v>
      </c>
      <c r="H410" s="61" t="s">
        <v>1251</v>
      </c>
      <c r="I410" s="60" t="s">
        <v>101</v>
      </c>
      <c r="J410" s="62" t="s">
        <v>1166</v>
      </c>
      <c r="K410" s="143" t="n">
        <v>46240</v>
      </c>
      <c r="L410" s="143" t="n">
        <v>46327</v>
      </c>
      <c r="M410" s="64" t="s">
        <v>41</v>
      </c>
      <c r="N410" s="61"/>
      <c r="O410" s="61"/>
      <c r="P410" s="61"/>
      <c r="Q410" s="61"/>
      <c r="R410" s="61"/>
    </row>
    <row r="411" customFormat="false" ht="30" hidden="false" customHeight="true" outlineLevel="0" collapsed="false">
      <c r="A411" s="59" t="n">
        <v>2</v>
      </c>
      <c r="B411" s="59" t="s">
        <v>97</v>
      </c>
      <c r="C411" s="59" t="s">
        <v>52</v>
      </c>
      <c r="D411" s="59" t="s">
        <v>1214</v>
      </c>
      <c r="E411" s="60"/>
      <c r="F411" s="60" t="s">
        <v>1252</v>
      </c>
      <c r="G411" s="61" t="s">
        <v>1253</v>
      </c>
      <c r="H411" s="61" t="s">
        <v>1254</v>
      </c>
      <c r="I411" s="60" t="s">
        <v>101</v>
      </c>
      <c r="J411" s="62" t="s">
        <v>1166</v>
      </c>
      <c r="K411" s="143" t="n">
        <v>46211</v>
      </c>
      <c r="L411" s="143" t="n">
        <v>46327</v>
      </c>
      <c r="M411" s="64" t="s">
        <v>41</v>
      </c>
      <c r="N411" s="61"/>
      <c r="O411" s="61"/>
      <c r="P411" s="61"/>
      <c r="Q411" s="61"/>
      <c r="R411" s="61"/>
    </row>
    <row r="412" customFormat="false" ht="30" hidden="false" customHeight="true" outlineLevel="0" collapsed="false">
      <c r="A412" s="59" t="n">
        <v>2</v>
      </c>
      <c r="B412" s="59" t="s">
        <v>97</v>
      </c>
      <c r="C412" s="59" t="s">
        <v>52</v>
      </c>
      <c r="D412" s="59" t="s">
        <v>1214</v>
      </c>
      <c r="E412" s="60"/>
      <c r="F412" s="60" t="s">
        <v>1255</v>
      </c>
      <c r="G412" s="61" t="s">
        <v>1256</v>
      </c>
      <c r="H412" s="61" t="s">
        <v>1257</v>
      </c>
      <c r="I412" s="60" t="s">
        <v>101</v>
      </c>
      <c r="J412" s="62" t="s">
        <v>1166</v>
      </c>
      <c r="K412" s="143" t="n">
        <v>46240</v>
      </c>
      <c r="L412" s="143" t="n">
        <v>46296</v>
      </c>
      <c r="M412" s="64" t="s">
        <v>41</v>
      </c>
      <c r="N412" s="61"/>
      <c r="O412" s="61"/>
      <c r="P412" s="61"/>
      <c r="Q412" s="61"/>
      <c r="R412" s="61"/>
    </row>
    <row r="413" customFormat="false" ht="30" hidden="false" customHeight="true" outlineLevel="0" collapsed="false">
      <c r="A413" s="59" t="n">
        <v>2</v>
      </c>
      <c r="B413" s="59" t="s">
        <v>97</v>
      </c>
      <c r="C413" s="59" t="s">
        <v>52</v>
      </c>
      <c r="D413" s="59" t="s">
        <v>1214</v>
      </c>
      <c r="E413" s="60"/>
      <c r="F413" s="60" t="s">
        <v>1258</v>
      </c>
      <c r="G413" s="61" t="s">
        <v>1259</v>
      </c>
      <c r="H413" s="61" t="s">
        <v>1260</v>
      </c>
      <c r="I413" s="60" t="s">
        <v>101</v>
      </c>
      <c r="J413" s="62" t="s">
        <v>1166</v>
      </c>
      <c r="K413" s="143" t="n">
        <v>46213</v>
      </c>
      <c r="L413" s="143" t="n">
        <v>46266</v>
      </c>
      <c r="M413" s="64" t="s">
        <v>41</v>
      </c>
      <c r="N413" s="61"/>
      <c r="O413" s="61"/>
      <c r="P413" s="61"/>
      <c r="Q413" s="61"/>
      <c r="R413" s="61"/>
    </row>
    <row r="414" customFormat="false" ht="30" hidden="false" customHeight="true" outlineLevel="0" collapsed="false">
      <c r="A414" s="59" t="n">
        <v>2</v>
      </c>
      <c r="B414" s="59" t="s">
        <v>97</v>
      </c>
      <c r="C414" s="59" t="s">
        <v>52</v>
      </c>
      <c r="D414" s="59" t="s">
        <v>1214</v>
      </c>
      <c r="E414" s="60"/>
      <c r="F414" s="60" t="s">
        <v>1261</v>
      </c>
      <c r="G414" s="61" t="s">
        <v>1262</v>
      </c>
      <c r="H414" s="61" t="s">
        <v>1263</v>
      </c>
      <c r="I414" s="60" t="s">
        <v>101</v>
      </c>
      <c r="J414" s="62" t="s">
        <v>1166</v>
      </c>
      <c r="K414" s="143" t="n">
        <v>46237</v>
      </c>
      <c r="L414" s="143" t="n">
        <v>46266</v>
      </c>
      <c r="M414" s="64" t="s">
        <v>41</v>
      </c>
      <c r="N414" s="61"/>
      <c r="O414" s="61"/>
      <c r="P414" s="61"/>
      <c r="Q414" s="61"/>
      <c r="R414" s="61"/>
    </row>
    <row r="415" customFormat="false" ht="30" hidden="false" customHeight="true" outlineLevel="0" collapsed="false">
      <c r="A415" s="59" t="n">
        <v>2</v>
      </c>
      <c r="B415" s="59" t="s">
        <v>97</v>
      </c>
      <c r="C415" s="59" t="s">
        <v>52</v>
      </c>
      <c r="D415" s="59" t="s">
        <v>1214</v>
      </c>
      <c r="E415" s="60"/>
      <c r="F415" s="60" t="s">
        <v>1264</v>
      </c>
      <c r="G415" s="61" t="s">
        <v>1265</v>
      </c>
      <c r="H415" s="61" t="s">
        <v>1266</v>
      </c>
      <c r="I415" s="60" t="s">
        <v>101</v>
      </c>
      <c r="J415" s="62" t="s">
        <v>1166</v>
      </c>
      <c r="K415" s="143" t="n">
        <v>46357</v>
      </c>
      <c r="L415" s="143" t="n">
        <v>46419</v>
      </c>
      <c r="M415" s="64" t="s">
        <v>41</v>
      </c>
      <c r="N415" s="61"/>
      <c r="O415" s="61"/>
      <c r="P415" s="61"/>
      <c r="Q415" s="61"/>
      <c r="R415" s="61"/>
    </row>
    <row r="416" customFormat="false" ht="15.75" hidden="false" customHeight="false" outlineLevel="0" collapsed="false">
      <c r="A416" s="59" t="n">
        <v>2</v>
      </c>
      <c r="B416" s="59"/>
      <c r="C416" s="59"/>
      <c r="D416" s="59"/>
      <c r="E416" s="60"/>
      <c r="F416" s="60"/>
      <c r="G416" s="61"/>
      <c r="H416" s="61"/>
      <c r="I416" s="60"/>
      <c r="J416" s="62"/>
      <c r="K416" s="63"/>
      <c r="L416" s="63"/>
      <c r="M416" s="64" t="s">
        <v>41</v>
      </c>
      <c r="N416" s="125"/>
      <c r="O416" s="125"/>
      <c r="P416" s="61"/>
      <c r="Q416" s="61"/>
      <c r="R416" s="61"/>
    </row>
    <row r="417" customFormat="false" ht="30" hidden="false" customHeight="true" outlineLevel="0" collapsed="false">
      <c r="A417" s="145" t="n">
        <v>1</v>
      </c>
      <c r="B417" s="146" t="s">
        <v>11</v>
      </c>
      <c r="C417" s="145" t="s">
        <v>52</v>
      </c>
      <c r="D417" s="145" t="s">
        <v>1267</v>
      </c>
      <c r="E417" s="145"/>
      <c r="F417" s="146" t="s">
        <v>85</v>
      </c>
      <c r="G417" s="147" t="s">
        <v>1268</v>
      </c>
      <c r="H417" s="148" t="s">
        <v>1269</v>
      </c>
      <c r="I417" s="145" t="s">
        <v>77</v>
      </c>
      <c r="J417" s="145" t="s">
        <v>1270</v>
      </c>
      <c r="K417" s="145"/>
      <c r="L417" s="145"/>
      <c r="M417" s="149" t="s">
        <v>39</v>
      </c>
      <c r="N417" s="148"/>
      <c r="O417" s="145"/>
      <c r="P417" s="145"/>
      <c r="Q417" s="148"/>
      <c r="R417" s="148"/>
    </row>
    <row r="418" customFormat="false" ht="30" hidden="false" customHeight="true" outlineLevel="0" collapsed="false">
      <c r="A418" s="145" t="n">
        <v>1</v>
      </c>
      <c r="B418" s="146" t="s">
        <v>11</v>
      </c>
      <c r="C418" s="145" t="s">
        <v>52</v>
      </c>
      <c r="D418" s="145" t="s">
        <v>1267</v>
      </c>
      <c r="E418" s="145"/>
      <c r="F418" s="146" t="s">
        <v>85</v>
      </c>
      <c r="G418" s="147" t="s">
        <v>1271</v>
      </c>
      <c r="H418" s="148" t="s">
        <v>1272</v>
      </c>
      <c r="I418" s="145" t="s">
        <v>77</v>
      </c>
      <c r="J418" s="145" t="s">
        <v>1270</v>
      </c>
      <c r="K418" s="145"/>
      <c r="L418" s="145"/>
      <c r="M418" s="149" t="s">
        <v>39</v>
      </c>
      <c r="N418" s="148"/>
      <c r="O418" s="145"/>
      <c r="P418" s="145"/>
      <c r="Q418" s="148"/>
      <c r="R418" s="148"/>
    </row>
    <row r="419" customFormat="false" ht="30" hidden="false" customHeight="true" outlineLevel="0" collapsed="false">
      <c r="A419" s="145" t="n">
        <v>1</v>
      </c>
      <c r="B419" s="146" t="s">
        <v>11</v>
      </c>
      <c r="C419" s="145" t="s">
        <v>52</v>
      </c>
      <c r="D419" s="145" t="s">
        <v>1267</v>
      </c>
      <c r="E419" s="145"/>
      <c r="F419" s="146" t="s">
        <v>85</v>
      </c>
      <c r="G419" s="147" t="s">
        <v>1273</v>
      </c>
      <c r="H419" s="148"/>
      <c r="I419" s="145" t="s">
        <v>77</v>
      </c>
      <c r="J419" s="145" t="s">
        <v>1270</v>
      </c>
      <c r="K419" s="145"/>
      <c r="L419" s="145"/>
      <c r="M419" s="149" t="s">
        <v>39</v>
      </c>
      <c r="N419" s="148"/>
      <c r="O419" s="145"/>
      <c r="P419" s="145"/>
      <c r="Q419" s="148"/>
      <c r="R419" s="148"/>
    </row>
    <row r="420" customFormat="false" ht="30" hidden="false" customHeight="true" outlineLevel="0" collapsed="false">
      <c r="A420" s="145" t="n">
        <v>1</v>
      </c>
      <c r="B420" s="146" t="s">
        <v>11</v>
      </c>
      <c r="C420" s="145" t="s">
        <v>52</v>
      </c>
      <c r="D420" s="145" t="s">
        <v>1267</v>
      </c>
      <c r="E420" s="145"/>
      <c r="F420" s="146" t="s">
        <v>85</v>
      </c>
      <c r="G420" s="147" t="s">
        <v>1274</v>
      </c>
      <c r="H420" s="148" t="s">
        <v>1275</v>
      </c>
      <c r="I420" s="145" t="s">
        <v>77</v>
      </c>
      <c r="J420" s="145" t="s">
        <v>1270</v>
      </c>
      <c r="K420" s="145"/>
      <c r="L420" s="145"/>
      <c r="M420" s="149" t="s">
        <v>39</v>
      </c>
      <c r="N420" s="148"/>
      <c r="O420" s="145"/>
      <c r="P420" s="145"/>
      <c r="Q420" s="148"/>
      <c r="R420" s="148"/>
    </row>
    <row r="421" customFormat="false" ht="30" hidden="false" customHeight="true" outlineLevel="0" collapsed="false">
      <c r="A421" s="145" t="n">
        <v>1</v>
      </c>
      <c r="B421" s="146" t="s">
        <v>11</v>
      </c>
      <c r="C421" s="145" t="s">
        <v>52</v>
      </c>
      <c r="D421" s="145" t="s">
        <v>1267</v>
      </c>
      <c r="E421" s="145"/>
      <c r="F421" s="146" t="s">
        <v>85</v>
      </c>
      <c r="G421" s="147" t="s">
        <v>1276</v>
      </c>
      <c r="H421" s="148" t="s">
        <v>1277</v>
      </c>
      <c r="I421" s="145" t="s">
        <v>77</v>
      </c>
      <c r="J421" s="145" t="s">
        <v>1270</v>
      </c>
      <c r="K421" s="145"/>
      <c r="L421" s="145"/>
      <c r="M421" s="149" t="s">
        <v>39</v>
      </c>
      <c r="N421" s="148"/>
      <c r="O421" s="145"/>
      <c r="P421" s="145"/>
      <c r="Q421" s="148"/>
      <c r="R421" s="148"/>
    </row>
    <row r="422" customFormat="false" ht="30" hidden="false" customHeight="true" outlineLevel="0" collapsed="false">
      <c r="A422" s="145" t="n">
        <v>1</v>
      </c>
      <c r="B422" s="146" t="s">
        <v>11</v>
      </c>
      <c r="C422" s="145" t="s">
        <v>52</v>
      </c>
      <c r="D422" s="145" t="s">
        <v>1267</v>
      </c>
      <c r="E422" s="145"/>
      <c r="F422" s="146" t="s">
        <v>85</v>
      </c>
      <c r="G422" s="147" t="s">
        <v>1278</v>
      </c>
      <c r="H422" s="148" t="s">
        <v>1279</v>
      </c>
      <c r="I422" s="145" t="s">
        <v>77</v>
      </c>
      <c r="J422" s="145" t="s">
        <v>1270</v>
      </c>
      <c r="K422" s="145"/>
      <c r="L422" s="145"/>
      <c r="M422" s="149" t="s">
        <v>39</v>
      </c>
      <c r="N422" s="148"/>
      <c r="O422" s="145"/>
      <c r="P422" s="145"/>
      <c r="Q422" s="148"/>
      <c r="R422" s="148"/>
    </row>
    <row r="423" customFormat="false" ht="30" hidden="false" customHeight="true" outlineLevel="0" collapsed="false">
      <c r="A423" s="145" t="n">
        <v>1</v>
      </c>
      <c r="B423" s="146" t="s">
        <v>11</v>
      </c>
      <c r="C423" s="145" t="s">
        <v>52</v>
      </c>
      <c r="D423" s="145" t="s">
        <v>1267</v>
      </c>
      <c r="E423" s="145"/>
      <c r="F423" s="146" t="s">
        <v>85</v>
      </c>
      <c r="G423" s="147" t="s">
        <v>1280</v>
      </c>
      <c r="H423" s="148" t="s">
        <v>1281</v>
      </c>
      <c r="I423" s="145" t="s">
        <v>77</v>
      </c>
      <c r="J423" s="145" t="s">
        <v>1270</v>
      </c>
      <c r="K423" s="145"/>
      <c r="L423" s="145"/>
      <c r="M423" s="149" t="s">
        <v>39</v>
      </c>
      <c r="N423" s="148"/>
      <c r="O423" s="145"/>
      <c r="P423" s="145"/>
      <c r="Q423" s="148"/>
      <c r="R423" s="148"/>
    </row>
    <row r="424" customFormat="false" ht="30" hidden="false" customHeight="true" outlineLevel="0" collapsed="false">
      <c r="A424" s="145" t="n">
        <v>1</v>
      </c>
      <c r="B424" s="146" t="s">
        <v>11</v>
      </c>
      <c r="C424" s="145" t="s">
        <v>52</v>
      </c>
      <c r="D424" s="145" t="s">
        <v>1267</v>
      </c>
      <c r="E424" s="145"/>
      <c r="F424" s="146" t="s">
        <v>85</v>
      </c>
      <c r="G424" s="147" t="s">
        <v>1282</v>
      </c>
      <c r="H424" s="148" t="s">
        <v>1283</v>
      </c>
      <c r="I424" s="145" t="s">
        <v>77</v>
      </c>
      <c r="J424" s="145" t="s">
        <v>1270</v>
      </c>
      <c r="K424" s="145"/>
      <c r="L424" s="145"/>
      <c r="M424" s="149" t="s">
        <v>39</v>
      </c>
      <c r="N424" s="148"/>
      <c r="O424" s="145"/>
      <c r="P424" s="145"/>
      <c r="Q424" s="148"/>
      <c r="R424" s="148"/>
    </row>
    <row r="425" customFormat="false" ht="30" hidden="false" customHeight="true" outlineLevel="0" collapsed="false">
      <c r="A425" s="145" t="n">
        <v>1</v>
      </c>
      <c r="B425" s="146" t="s">
        <v>11</v>
      </c>
      <c r="C425" s="145" t="s">
        <v>52</v>
      </c>
      <c r="D425" s="145" t="s">
        <v>1267</v>
      </c>
      <c r="E425" s="145"/>
      <c r="F425" s="146" t="s">
        <v>85</v>
      </c>
      <c r="G425" s="147" t="s">
        <v>1284</v>
      </c>
      <c r="H425" s="148" t="s">
        <v>1285</v>
      </c>
      <c r="I425" s="145" t="s">
        <v>77</v>
      </c>
      <c r="J425" s="145" t="s">
        <v>1270</v>
      </c>
      <c r="K425" s="145"/>
      <c r="L425" s="145"/>
      <c r="M425" s="149" t="s">
        <v>39</v>
      </c>
      <c r="N425" s="148"/>
      <c r="O425" s="145"/>
      <c r="P425" s="145"/>
      <c r="Q425" s="148"/>
      <c r="R425" s="148"/>
    </row>
    <row r="426" customFormat="false" ht="15.75" hidden="false" customHeight="false" outlineLevel="0" collapsed="false">
      <c r="A426" s="145" t="n">
        <v>1</v>
      </c>
      <c r="B426" s="146" t="s">
        <v>11</v>
      </c>
      <c r="C426" s="145" t="s">
        <v>52</v>
      </c>
      <c r="D426" s="145" t="s">
        <v>1267</v>
      </c>
      <c r="E426" s="145"/>
      <c r="F426" s="146" t="s">
        <v>85</v>
      </c>
      <c r="G426" s="147" t="s">
        <v>1286</v>
      </c>
      <c r="H426" s="148" t="s">
        <v>1287</v>
      </c>
      <c r="I426" s="145" t="s">
        <v>77</v>
      </c>
      <c r="J426" s="145" t="s">
        <v>1270</v>
      </c>
      <c r="K426" s="145"/>
      <c r="L426" s="145"/>
      <c r="M426" s="149" t="s">
        <v>39</v>
      </c>
      <c r="N426" s="148"/>
      <c r="O426" s="145"/>
      <c r="P426" s="145"/>
      <c r="Q426" s="148"/>
      <c r="R426" s="148"/>
    </row>
    <row r="427" customFormat="false" ht="30" hidden="false" customHeight="true" outlineLevel="0" collapsed="false">
      <c r="A427" s="59" t="n">
        <v>2</v>
      </c>
      <c r="B427" s="59" t="s">
        <v>97</v>
      </c>
      <c r="C427" s="59" t="s">
        <v>52</v>
      </c>
      <c r="D427" s="59" t="s">
        <v>1267</v>
      </c>
      <c r="E427" s="60"/>
      <c r="F427" s="60" t="s">
        <v>1288</v>
      </c>
      <c r="G427" s="61" t="s">
        <v>1289</v>
      </c>
      <c r="H427" s="61" t="s">
        <v>1290</v>
      </c>
      <c r="I427" s="60" t="s">
        <v>101</v>
      </c>
      <c r="J427" s="62" t="s">
        <v>1270</v>
      </c>
      <c r="K427" s="143"/>
      <c r="L427" s="143"/>
      <c r="M427" s="149" t="s">
        <v>39</v>
      </c>
      <c r="N427" s="61"/>
      <c r="O427" s="61"/>
      <c r="P427" s="61"/>
      <c r="Q427" s="61"/>
      <c r="R427" s="61"/>
    </row>
    <row r="428" customFormat="false" ht="15.75" hidden="false" customHeight="false" outlineLevel="0" collapsed="false">
      <c r="A428" s="96" t="n">
        <v>3</v>
      </c>
      <c r="B428" s="96" t="s">
        <v>97</v>
      </c>
      <c r="C428" s="96" t="s">
        <v>52</v>
      </c>
      <c r="D428" s="96" t="s">
        <v>1267</v>
      </c>
      <c r="E428" s="97"/>
      <c r="F428" s="97" t="s">
        <v>1291</v>
      </c>
      <c r="G428" s="98" t="s">
        <v>1292</v>
      </c>
      <c r="H428" s="98"/>
      <c r="I428" s="97" t="s">
        <v>101</v>
      </c>
      <c r="J428" s="99" t="s">
        <v>1293</v>
      </c>
      <c r="K428" s="100" t="n">
        <v>46227</v>
      </c>
      <c r="L428" s="63"/>
      <c r="M428" s="64" t="s">
        <v>34</v>
      </c>
      <c r="N428" s="61"/>
      <c r="O428" s="61"/>
      <c r="P428" s="61"/>
      <c r="Q428" s="61"/>
      <c r="R428" s="61"/>
    </row>
    <row r="429" customFormat="false" ht="30" hidden="false" customHeight="true" outlineLevel="0" collapsed="false">
      <c r="A429" s="59" t="n">
        <v>2</v>
      </c>
      <c r="B429" s="59" t="s">
        <v>97</v>
      </c>
      <c r="C429" s="59" t="s">
        <v>52</v>
      </c>
      <c r="D429" s="59" t="s">
        <v>1267</v>
      </c>
      <c r="E429" s="60"/>
      <c r="F429" s="60" t="s">
        <v>1294</v>
      </c>
      <c r="G429" s="61" t="s">
        <v>1295</v>
      </c>
      <c r="H429" s="61" t="s">
        <v>1296</v>
      </c>
      <c r="I429" s="60" t="s">
        <v>101</v>
      </c>
      <c r="J429" s="62" t="s">
        <v>1270</v>
      </c>
      <c r="K429" s="143"/>
      <c r="L429" s="143"/>
      <c r="M429" s="149" t="s">
        <v>39</v>
      </c>
      <c r="N429" s="61"/>
      <c r="O429" s="61"/>
      <c r="P429" s="61"/>
      <c r="Q429" s="61"/>
      <c r="R429" s="61"/>
    </row>
    <row r="430" customFormat="false" ht="30" hidden="false" customHeight="true" outlineLevel="0" collapsed="false">
      <c r="A430" s="59" t="n">
        <v>2</v>
      </c>
      <c r="B430" s="59" t="s">
        <v>97</v>
      </c>
      <c r="C430" s="59" t="s">
        <v>52</v>
      </c>
      <c r="D430" s="59" t="s">
        <v>1267</v>
      </c>
      <c r="E430" s="60"/>
      <c r="F430" s="60" t="s">
        <v>1297</v>
      </c>
      <c r="G430" s="61" t="s">
        <v>1298</v>
      </c>
      <c r="H430" s="61" t="s">
        <v>1299</v>
      </c>
      <c r="I430" s="60" t="s">
        <v>101</v>
      </c>
      <c r="J430" s="62" t="s">
        <v>1270</v>
      </c>
      <c r="K430" s="143"/>
      <c r="L430" s="143"/>
      <c r="M430" s="149" t="s">
        <v>39</v>
      </c>
      <c r="N430" s="61"/>
      <c r="O430" s="61"/>
      <c r="P430" s="61"/>
      <c r="Q430" s="61"/>
      <c r="R430" s="61"/>
    </row>
    <row r="431" customFormat="false" ht="30" hidden="false" customHeight="true" outlineLevel="0" collapsed="false">
      <c r="A431" s="59" t="n">
        <v>2</v>
      </c>
      <c r="B431" s="59" t="s">
        <v>97</v>
      </c>
      <c r="C431" s="59" t="s">
        <v>52</v>
      </c>
      <c r="D431" s="59" t="s">
        <v>1267</v>
      </c>
      <c r="E431" s="60"/>
      <c r="F431" s="60" t="s">
        <v>1300</v>
      </c>
      <c r="G431" s="61" t="s">
        <v>1301</v>
      </c>
      <c r="H431" s="61" t="s">
        <v>1302</v>
      </c>
      <c r="I431" s="60" t="s">
        <v>101</v>
      </c>
      <c r="J431" s="62" t="s">
        <v>1270</v>
      </c>
      <c r="K431" s="143"/>
      <c r="L431" s="143"/>
      <c r="M431" s="149" t="s">
        <v>39</v>
      </c>
      <c r="N431" s="61"/>
      <c r="O431" s="61"/>
      <c r="P431" s="61"/>
      <c r="Q431" s="61"/>
      <c r="R431" s="61"/>
    </row>
    <row r="432" customFormat="false" ht="30" hidden="false" customHeight="true" outlineLevel="0" collapsed="false">
      <c r="A432" s="59" t="n">
        <v>2</v>
      </c>
      <c r="B432" s="59" t="s">
        <v>97</v>
      </c>
      <c r="C432" s="59" t="s">
        <v>52</v>
      </c>
      <c r="D432" s="59" t="s">
        <v>1267</v>
      </c>
      <c r="E432" s="60"/>
      <c r="F432" s="60" t="s">
        <v>1303</v>
      </c>
      <c r="G432" s="61" t="s">
        <v>1304</v>
      </c>
      <c r="H432" s="61" t="s">
        <v>1305</v>
      </c>
      <c r="I432" s="60" t="s">
        <v>101</v>
      </c>
      <c r="J432" s="62" t="s">
        <v>1270</v>
      </c>
      <c r="K432" s="143"/>
      <c r="L432" s="143"/>
      <c r="M432" s="149" t="s">
        <v>39</v>
      </c>
      <c r="N432" s="61"/>
      <c r="O432" s="61"/>
      <c r="P432" s="61"/>
      <c r="Q432" s="61"/>
      <c r="R432" s="61"/>
    </row>
    <row r="433" customFormat="false" ht="30" hidden="false" customHeight="true" outlineLevel="0" collapsed="false">
      <c r="A433" s="59" t="n">
        <v>2</v>
      </c>
      <c r="B433" s="59" t="s">
        <v>97</v>
      </c>
      <c r="C433" s="59" t="s">
        <v>52</v>
      </c>
      <c r="D433" s="59" t="s">
        <v>1267</v>
      </c>
      <c r="E433" s="60"/>
      <c r="F433" s="60" t="s">
        <v>1306</v>
      </c>
      <c r="G433" s="61" t="s">
        <v>1307</v>
      </c>
      <c r="H433" s="61" t="s">
        <v>1308</v>
      </c>
      <c r="I433" s="60" t="s">
        <v>101</v>
      </c>
      <c r="J433" s="62" t="s">
        <v>1270</v>
      </c>
      <c r="K433" s="143"/>
      <c r="L433" s="143"/>
      <c r="M433" s="149" t="s">
        <v>39</v>
      </c>
      <c r="N433" s="61"/>
      <c r="O433" s="61"/>
      <c r="P433" s="61"/>
      <c r="Q433" s="61"/>
      <c r="R433" s="61"/>
    </row>
    <row r="434" customFormat="false" ht="30" hidden="false" customHeight="true" outlineLevel="0" collapsed="false">
      <c r="A434" s="59" t="n">
        <v>2</v>
      </c>
      <c r="B434" s="59" t="s">
        <v>97</v>
      </c>
      <c r="C434" s="59" t="s">
        <v>52</v>
      </c>
      <c r="D434" s="59" t="s">
        <v>1267</v>
      </c>
      <c r="E434" s="60"/>
      <c r="F434" s="60" t="s">
        <v>1309</v>
      </c>
      <c r="G434" s="61" t="s">
        <v>1310</v>
      </c>
      <c r="H434" s="61" t="s">
        <v>1311</v>
      </c>
      <c r="I434" s="60" t="s">
        <v>101</v>
      </c>
      <c r="J434" s="62" t="s">
        <v>1270</v>
      </c>
      <c r="K434" s="143"/>
      <c r="L434" s="143"/>
      <c r="M434" s="149" t="s">
        <v>39</v>
      </c>
      <c r="N434" s="61"/>
      <c r="O434" s="61"/>
      <c r="P434" s="61"/>
      <c r="Q434" s="61"/>
      <c r="R434" s="61"/>
    </row>
    <row r="435" customFormat="false" ht="30" hidden="false" customHeight="true" outlineLevel="0" collapsed="false">
      <c r="A435" s="59" t="n">
        <v>2</v>
      </c>
      <c r="B435" s="59" t="s">
        <v>97</v>
      </c>
      <c r="C435" s="59" t="s">
        <v>52</v>
      </c>
      <c r="D435" s="59" t="s">
        <v>1267</v>
      </c>
      <c r="E435" s="60"/>
      <c r="F435" s="60" t="s">
        <v>1312</v>
      </c>
      <c r="G435" s="61" t="s">
        <v>1313</v>
      </c>
      <c r="H435" s="61" t="s">
        <v>1314</v>
      </c>
      <c r="I435" s="60" t="s">
        <v>101</v>
      </c>
      <c r="J435" s="62" t="s">
        <v>1270</v>
      </c>
      <c r="K435" s="143"/>
      <c r="L435" s="143"/>
      <c r="M435" s="149" t="s">
        <v>39</v>
      </c>
      <c r="N435" s="61"/>
      <c r="O435" s="61"/>
      <c r="P435" s="61"/>
      <c r="Q435" s="61"/>
      <c r="R435" s="61"/>
    </row>
  </sheetData>
  <autoFilter ref="A8:R435">
    <sortState ref="A9:R435">
      <sortCondition ref="A9:A435" customList=""/>
    </sortState>
  </autoFilter>
  <mergeCells count="10">
    <mergeCell ref="A2:K2"/>
    <mergeCell ref="A3:K3"/>
    <mergeCell ref="A4:B4"/>
    <mergeCell ref="C4:E4"/>
    <mergeCell ref="A5:B5"/>
    <mergeCell ref="C5:E5"/>
    <mergeCell ref="A6:B6"/>
    <mergeCell ref="C6:E6"/>
    <mergeCell ref="A7:B7"/>
    <mergeCell ref="C7:E7"/>
  </mergeCells>
  <conditionalFormatting sqref="M316:M317">
    <cfRule type="containsText" priority="2" operator="containsText" aboveAverage="0" equalAverage="0" bottom="0" percent="0" rank="0" text="No Update Received" dxfId="22">
      <formula>NOT(ISERROR(SEARCH("No Update Received",M316)))</formula>
    </cfRule>
    <cfRule type="containsText" priority="3" operator="containsText" aboveAverage="0" equalAverage="0" bottom="0" percent="0" rank="0" text="At Risk" dxfId="23">
      <formula>NOT(ISERROR(SEARCH("At Risk",M316)))</formula>
    </cfRule>
    <cfRule type="containsText" priority="4" operator="containsText" aboveAverage="0" equalAverage="0" bottom="0" percent="0" rank="0" text="At Risk" dxfId="24">
      <formula>NOT(ISERROR(SEARCH("At Risk",M316)))</formula>
    </cfRule>
    <cfRule type="containsText" priority="5" operator="containsText" aboveAverage="0" equalAverage="0" bottom="0" percent="0" rank="0" text="Complete" dxfId="25">
      <formula>NOT(ISERROR(SEARCH("Complete",M316)))</formula>
    </cfRule>
    <cfRule type="containsText" priority="6" operator="containsText" aboveAverage="0" equalAverage="0" bottom="0" percent="0" rank="0" text="On Track" dxfId="26">
      <formula>NOT(ISERROR(SEARCH("On Track",M316)))</formula>
    </cfRule>
  </conditionalFormatting>
  <conditionalFormatting sqref="J316:J317">
    <cfRule type="containsText" priority="7" operator="containsText" aboveAverage="0" equalAverage="0" bottom="0" percent="0" rank="0" text="Not Started" dxfId="27">
      <formula>NOT(ISERROR(SEARCH("Not Started",J316)))</formula>
    </cfRule>
    <cfRule type="containsText" priority="8" operator="containsText" aboveAverage="0" equalAverage="0" bottom="0" percent="0" rank="0" text="On Track" dxfId="26">
      <formula>NOT(ISERROR(SEARCH("On Track",J316)))</formula>
    </cfRule>
    <cfRule type="containsText" priority="9" operator="containsText" aboveAverage="0" equalAverage="0" bottom="0" percent="0" rank="0" text="No Update Received" dxfId="22">
      <formula>NOT(ISERROR(SEARCH("No Update Received",J316)))</formula>
    </cfRule>
    <cfRule type="containsText" priority="10" operator="containsText" aboveAverage="0" equalAverage="0" bottom="0" percent="0" rank="0" text="At Risk" dxfId="23">
      <formula>NOT(ISERROR(SEARCH("At Risk",J316)))</formula>
    </cfRule>
    <cfRule type="containsText" priority="11" operator="containsText" aboveAverage="0" equalAverage="0" bottom="0" percent="0" rank="0" text="Complete" dxfId="25">
      <formula>NOT(ISERROR(SEARCH("Complete",J316)))</formula>
    </cfRule>
  </conditionalFormatting>
  <conditionalFormatting sqref="M300">
    <cfRule type="containsText" priority="12" operator="containsText" aboveAverage="0" equalAverage="0" bottom="0" percent="0" rank="0" text="At Risk" dxfId="23">
      <formula>NOT(ISERROR(SEARCH("At Risk",M300)))</formula>
    </cfRule>
    <cfRule type="containsText" priority="13" operator="containsText" aboveAverage="0" equalAverage="0" bottom="0" percent="0" rank="0" text="At Risk" dxfId="24">
      <formula>NOT(ISERROR(SEARCH("At Risk",M300)))</formula>
    </cfRule>
    <cfRule type="containsText" priority="14" operator="containsText" aboveAverage="0" equalAverage="0" bottom="0" percent="0" rank="0" text="No Update Received" dxfId="22">
      <formula>NOT(ISERROR(SEARCH("No Update Received",M300)))</formula>
    </cfRule>
  </conditionalFormatting>
  <conditionalFormatting sqref="J300">
    <cfRule type="containsText" priority="15" operator="containsText" aboveAverage="0" equalAverage="0" bottom="0" percent="0" rank="0" text="Not Started" dxfId="27">
      <formula>NOT(ISERROR(SEARCH("Not Started",J300)))</formula>
    </cfRule>
    <cfRule type="containsText" priority="16" operator="containsText" aboveAverage="0" equalAverage="0" bottom="0" percent="0" rank="0" text="On Track" dxfId="26">
      <formula>NOT(ISERROR(SEARCH("On Track",J300)))</formula>
    </cfRule>
    <cfRule type="containsText" priority="17" operator="containsText" aboveAverage="0" equalAverage="0" bottom="0" percent="0" rank="0" text="No Update Received" dxfId="22">
      <formula>NOT(ISERROR(SEARCH("No Update Received",J300)))</formula>
    </cfRule>
    <cfRule type="containsText" priority="18" operator="containsText" aboveAverage="0" equalAverage="0" bottom="0" percent="0" rank="0" text="At Risk" dxfId="23">
      <formula>NOT(ISERROR(SEARCH("At Risk",J300)))</formula>
    </cfRule>
    <cfRule type="containsText" priority="19" operator="containsText" aboveAverage="0" equalAverage="0" bottom="0" percent="0" rank="0" text="Complete" dxfId="25">
      <formula>NOT(ISERROR(SEARCH("Complete",J300)))</formula>
    </cfRule>
  </conditionalFormatting>
  <conditionalFormatting sqref="M290:M291">
    <cfRule type="containsText" priority="20" operator="containsText" aboveAverage="0" equalAverage="0" bottom="0" percent="0" rank="0" text="At Risk" dxfId="23">
      <formula>NOT(ISERROR(SEARCH("At Risk",M290)))</formula>
    </cfRule>
  </conditionalFormatting>
  <conditionalFormatting sqref="M302:M304">
    <cfRule type="containsText" priority="21" operator="containsText" aboveAverage="0" equalAverage="0" bottom="0" percent="0" rank="0" text="No Update Received" dxfId="22">
      <formula>NOT(ISERROR(SEARCH("No Update Received",M302)))</formula>
    </cfRule>
    <cfRule type="containsText" priority="22" operator="containsText" aboveAverage="0" equalAverage="0" bottom="0" percent="0" rank="0" text="At Risk" dxfId="23">
      <formula>NOT(ISERROR(SEARCH("At Risk",M302)))</formula>
    </cfRule>
    <cfRule type="containsText" priority="23" operator="containsText" aboveAverage="0" equalAverage="0" bottom="0" percent="0" rank="0" text="At Risk" dxfId="24">
      <formula>NOT(ISERROR(SEARCH("At Risk",M302)))</formula>
    </cfRule>
  </conditionalFormatting>
  <conditionalFormatting sqref="M427:M435">
    <cfRule type="containsText" priority="24" operator="containsText" aboveAverage="0" equalAverage="0" bottom="0" percent="0" rank="0" text="Not Started" dxfId="28">
      <formula>NOT(ISERROR(SEARCH("Not Started",M427)))</formula>
    </cfRule>
    <cfRule type="cellIs" priority="25" operator="equal" aboveAverage="0" equalAverage="0" bottom="0" percent="0" rank="0" text="" dxfId="29">
      <formula>"Not Started"</formula>
    </cfRule>
    <cfRule type="containsText" priority="26" operator="containsText" aboveAverage="0" equalAverage="0" bottom="0" percent="0" rank="0" text="Date Changed" dxfId="30">
      <formula>NOT(ISERROR(SEARCH("Date Changed",M427)))</formula>
    </cfRule>
    <cfRule type="containsText" priority="27" operator="containsText" aboveAverage="0" equalAverage="0" bottom="0" percent="0" rank="0" text="At Risk" dxfId="31">
      <formula>NOT(ISERROR(SEARCH("At Risk",M427)))</formula>
    </cfRule>
    <cfRule type="containsText" priority="28" operator="containsText" aboveAverage="0" equalAverage="0" bottom="0" percent="0" rank="0" text="On Track" dxfId="32">
      <formula>NOT(ISERROR(SEARCH("On Track",M427)))</formula>
    </cfRule>
    <cfRule type="containsText" priority="29" operator="containsText" aboveAverage="0" equalAverage="0" bottom="0" percent="0" rank="0" text="Complete" dxfId="33">
      <formula>NOT(ISERROR(SEARCH("Complete",M427)))</formula>
    </cfRule>
    <cfRule type="containsText" priority="30" operator="containsText" aboveAverage="0" equalAverage="0" bottom="0" percent="0" rank="0" text="Delayed" dxfId="34">
      <formula>NOT(ISERROR(SEARCH("Delayed",M427)))</formula>
    </cfRule>
    <cfRule type="cellIs" priority="31" operator="equal" aboveAverage="0" equalAverage="0" bottom="0" percent="0" rank="0" text="" dxfId="35">
      <formula>"Complete"</formula>
    </cfRule>
    <cfRule type="cellIs" priority="32" operator="equal" aboveAverage="0" equalAverage="0" bottom="0" percent="0" rank="0" text="" dxfId="36">
      <formula>"On Track"</formula>
    </cfRule>
    <cfRule type="cellIs" priority="33" operator="equal" aboveAverage="0" equalAverage="0" bottom="0" percent="0" rank="0" text="" dxfId="37">
      <formula>"At Risk"</formula>
    </cfRule>
    <cfRule type="cellIs" priority="34" operator="equal" aboveAverage="0" equalAverage="0" bottom="0" percent="0" rank="0" text="" dxfId="38">
      <formula>"Not Started"</formula>
    </cfRule>
    <cfRule type="cellIs" priority="35" operator="equal" aboveAverage="0" equalAverage="0" bottom="0" percent="0" rank="0" text="" dxfId="39">
      <formula>"No Update Received"</formula>
    </cfRule>
  </conditionalFormatting>
  <conditionalFormatting sqref="M1:M1048576">
    <cfRule type="containsText" priority="36" operator="containsText" aboveAverage="0" equalAverage="0" bottom="0" percent="0" rank="0" text="On Track" dxfId="26">
      <formula>NOT(ISERROR(SEARCH("On Track",M1)))</formula>
    </cfRule>
    <cfRule type="containsText" priority="37" operator="containsText" aboveAverage="0" equalAverage="0" bottom="0" percent="0" rank="0" text="Not Started" dxfId="40">
      <formula>NOT(ISERROR(SEARCH("Not Started",M1)))</formula>
    </cfRule>
  </conditionalFormatting>
  <conditionalFormatting sqref="M138">
    <cfRule type="containsText" priority="38" operator="containsText" aboveAverage="0" equalAverage="0" bottom="0" percent="0" rank="0" text="Complete" dxfId="25">
      <formula>NOT(ISERROR(SEARCH("Complete",M138)))</formula>
    </cfRule>
    <cfRule type="containsText" priority="39" operator="containsText" aboveAverage="0" equalAverage="0" bottom="0" percent="0" rank="0" text="On Track" dxfId="26">
      <formula>NOT(ISERROR(SEARCH("On Track",M138)))</formula>
    </cfRule>
    <cfRule type="containsText" priority="40" operator="containsText" aboveAverage="0" equalAverage="0" bottom="0" percent="0" rank="0" text="At Risk" dxfId="24">
      <formula>NOT(ISERROR(SEARCH("At Risk",M138)))</formula>
    </cfRule>
    <cfRule type="containsText" priority="41" operator="containsText" aboveAverage="0" equalAverage="0" bottom="0" percent="0" rank="0" text="No Update Received" dxfId="22">
      <formula>NOT(ISERROR(SEARCH("No Update Received",M138)))</formula>
    </cfRule>
    <cfRule type="containsText" priority="42" operator="containsText" aboveAverage="0" equalAverage="0" bottom="0" percent="0" rank="0" text="At Risk" dxfId="24">
      <formula>NOT(ISERROR(SEARCH("At Risk",M138)))</formula>
    </cfRule>
    <cfRule type="containsText" priority="43" operator="containsText" aboveAverage="0" equalAverage="0" bottom="0" percent="0" rank="0" text="At Risk" dxfId="23">
      <formula>NOT(ISERROR(SEARCH("At Risk",M138)))</formula>
    </cfRule>
    <cfRule type="containsText" priority="44" operator="containsText" aboveAverage="0" equalAverage="0" bottom="0" percent="0" rank="0" text="Not Started" dxfId="41">
      <formula>NOT(ISERROR(SEARCH("Not Started",M138)))</formula>
    </cfRule>
    <cfRule type="containsText" priority="45" operator="containsText" aboveAverage="0" equalAverage="0" bottom="0" percent="0" rank="0" text="On Track" dxfId="26">
      <formula>NOT(ISERROR(SEARCH("On Track",M138)))</formula>
    </cfRule>
    <cfRule type="containsText" priority="46" operator="containsText" aboveAverage="0" equalAverage="0" bottom="0" percent="0" rank="0" text="No Update Received" dxfId="22">
      <formula>NOT(ISERROR(SEARCH("No Update Received",M138)))</formula>
    </cfRule>
    <cfRule type="containsText" priority="47" operator="containsText" aboveAverage="0" equalAverage="0" bottom="0" percent="0" rank="0" text="At Risk" dxfId="23">
      <formula>NOT(ISERROR(SEARCH("At Risk",M138)))</formula>
    </cfRule>
    <cfRule type="cellIs" priority="48" operator="equal" aboveAverage="0" equalAverage="0" bottom="0" percent="0" rank="0" text="" dxfId="29">
      <formula>"Not Started"</formula>
    </cfRule>
    <cfRule type="containsText" priority="49" operator="containsText" aboveAverage="0" equalAverage="0" bottom="0" percent="0" rank="0" text="Date Changed" dxfId="30">
      <formula>NOT(ISERROR(SEARCH("Date Changed",M138)))</formula>
    </cfRule>
    <cfRule type="containsText" priority="50" operator="containsText" aboveAverage="0" equalAverage="0" bottom="0" percent="0" rank="0" text="At Risk" dxfId="31">
      <formula>NOT(ISERROR(SEARCH("At Risk",M138)))</formula>
    </cfRule>
    <cfRule type="containsText" priority="51" operator="containsText" aboveAverage="0" equalAverage="0" bottom="0" percent="0" rank="0" text="On Track" dxfId="32">
      <formula>NOT(ISERROR(SEARCH("On Track",M138)))</formula>
    </cfRule>
    <cfRule type="containsText" priority="52" operator="containsText" aboveAverage="0" equalAverage="0" bottom="0" percent="0" rank="0" text="Complete" dxfId="33">
      <formula>NOT(ISERROR(SEARCH("Complete",M138)))</formula>
    </cfRule>
    <cfRule type="containsText" priority="53" operator="containsText" aboveAverage="0" equalAverage="0" bottom="0" percent="0" rank="0" text="Delayed" dxfId="34">
      <formula>NOT(ISERROR(SEARCH("Delayed",M138)))</formula>
    </cfRule>
    <cfRule type="cellIs" priority="54" operator="equal" aboveAverage="0" equalAverage="0" bottom="0" percent="0" rank="0" text="" dxfId="35">
      <formula>"Complete"</formula>
    </cfRule>
    <cfRule type="cellIs" priority="55" operator="equal" aboveAverage="0" equalAverage="0" bottom="0" percent="0" rank="0" text="" dxfId="36">
      <formula>"On Track"</formula>
    </cfRule>
    <cfRule type="cellIs" priority="56" operator="equal" aboveAverage="0" equalAverage="0" bottom="0" percent="0" rank="0" text="" dxfId="37">
      <formula>"At Risk"</formula>
    </cfRule>
    <cfRule type="cellIs" priority="57" operator="equal" aboveAverage="0" equalAverage="0" bottom="0" percent="0" rank="0" text="" dxfId="38">
      <formula>"Not Started"</formula>
    </cfRule>
    <cfRule type="cellIs" priority="58" operator="equal" aboveAverage="0" equalAverage="0" bottom="0" percent="0" rank="0" text="" dxfId="39">
      <formula>"No Update Received"</formula>
    </cfRule>
  </conditionalFormatting>
  <conditionalFormatting sqref="M138:M139">
    <cfRule type="containsText" priority="59" operator="containsText" aboveAverage="0" equalAverage="0" bottom="0" percent="0" rank="0" text="Complete" dxfId="25">
      <formula>NOT(ISERROR(SEARCH("Complete",M138)))</formula>
    </cfRule>
  </conditionalFormatting>
  <conditionalFormatting sqref="M123">
    <cfRule type="containsText" priority="60" operator="containsText" aboveAverage="0" equalAverage="0" bottom="0" percent="0" rank="0" text="Complete" dxfId="25">
      <formula>NOT(ISERROR(SEARCH("Complete",M123)))</formula>
    </cfRule>
    <cfRule type="containsText" priority="61" operator="containsText" aboveAverage="0" equalAverage="0" bottom="0" percent="0" rank="0" text="On Track" dxfId="26">
      <formula>NOT(ISERROR(SEARCH("On Track",M123)))</formula>
    </cfRule>
    <cfRule type="containsText" priority="62" operator="containsText" aboveAverage="0" equalAverage="0" bottom="0" percent="0" rank="0" text="At Risk" dxfId="24">
      <formula>NOT(ISERROR(SEARCH("At Risk",M123)))</formula>
    </cfRule>
    <cfRule type="containsText" priority="63" operator="containsText" aboveAverage="0" equalAverage="0" bottom="0" percent="0" rank="0" text="No Update Received" dxfId="22">
      <formula>NOT(ISERROR(SEARCH("No Update Received",M123)))</formula>
    </cfRule>
    <cfRule type="containsText" priority="64" operator="containsText" aboveAverage="0" equalAverage="0" bottom="0" percent="0" rank="0" text="At Risk" dxfId="24">
      <formula>NOT(ISERROR(SEARCH("At Risk",M123)))</formula>
    </cfRule>
    <cfRule type="containsText" priority="65" operator="containsText" aboveAverage="0" equalAverage="0" bottom="0" percent="0" rank="0" text="At Risk" dxfId="23">
      <formula>NOT(ISERROR(SEARCH("At Risk",M123)))</formula>
    </cfRule>
    <cfRule type="containsText" priority="66" operator="containsText" aboveAverage="0" equalAverage="0" bottom="0" percent="0" rank="0" text="Not Started" dxfId="41">
      <formula>NOT(ISERROR(SEARCH("Not Started",M123)))</formula>
    </cfRule>
    <cfRule type="containsText" priority="67" operator="containsText" aboveAverage="0" equalAverage="0" bottom="0" percent="0" rank="0" text="On Track" dxfId="26">
      <formula>NOT(ISERROR(SEARCH("On Track",M123)))</formula>
    </cfRule>
    <cfRule type="containsText" priority="68" operator="containsText" aboveAverage="0" equalAverage="0" bottom="0" percent="0" rank="0" text="No Update Received" dxfId="22">
      <formula>NOT(ISERROR(SEARCH("No Update Received",M123)))</formula>
    </cfRule>
    <cfRule type="containsText" priority="69" operator="containsText" aboveAverage="0" equalAverage="0" bottom="0" percent="0" rank="0" text="At Risk" dxfId="23">
      <formula>NOT(ISERROR(SEARCH("At Risk",M123)))</formula>
    </cfRule>
    <cfRule type="cellIs" priority="70" operator="equal" aboveAverage="0" equalAverage="0" bottom="0" percent="0" rank="0" text="" dxfId="29">
      <formula>"Not Started"</formula>
    </cfRule>
    <cfRule type="containsText" priority="71" operator="containsText" aboveAverage="0" equalAverage="0" bottom="0" percent="0" rank="0" text="Date Changed" dxfId="30">
      <formula>NOT(ISERROR(SEARCH("Date Changed",M123)))</formula>
    </cfRule>
    <cfRule type="containsText" priority="72" operator="containsText" aboveAverage="0" equalAverage="0" bottom="0" percent="0" rank="0" text="At Risk" dxfId="31">
      <formula>NOT(ISERROR(SEARCH("At Risk",M123)))</formula>
    </cfRule>
    <cfRule type="containsText" priority="73" operator="containsText" aboveAverage="0" equalAverage="0" bottom="0" percent="0" rank="0" text="On Track" dxfId="32">
      <formula>NOT(ISERROR(SEARCH("On Track",M123)))</formula>
    </cfRule>
    <cfRule type="containsText" priority="74" operator="containsText" aboveAverage="0" equalAverage="0" bottom="0" percent="0" rank="0" text="Complete" dxfId="33">
      <formula>NOT(ISERROR(SEARCH("Complete",M123)))</formula>
    </cfRule>
    <cfRule type="containsText" priority="75" operator="containsText" aboveAverage="0" equalAverage="0" bottom="0" percent="0" rank="0" text="Delayed" dxfId="34">
      <formula>NOT(ISERROR(SEARCH("Delayed",M123)))</formula>
    </cfRule>
    <cfRule type="cellIs" priority="76" operator="equal" aboveAverage="0" equalAverage="0" bottom="0" percent="0" rank="0" text="" dxfId="35">
      <formula>"Complete"</formula>
    </cfRule>
    <cfRule type="cellIs" priority="77" operator="equal" aboveAverage="0" equalAverage="0" bottom="0" percent="0" rank="0" text="" dxfId="36">
      <formula>"On Track"</formula>
    </cfRule>
    <cfRule type="cellIs" priority="78" operator="equal" aboveAverage="0" equalAverage="0" bottom="0" percent="0" rank="0" text="" dxfId="37">
      <formula>"At Risk"</formula>
    </cfRule>
    <cfRule type="cellIs" priority="79" operator="equal" aboveAverage="0" equalAverage="0" bottom="0" percent="0" rank="0" text="" dxfId="38">
      <formula>"Not Started"</formula>
    </cfRule>
    <cfRule type="cellIs" priority="80" operator="equal" aboveAverage="0" equalAverage="0" bottom="0" percent="0" rank="0" text="" dxfId="39">
      <formula>"No Update Received"</formula>
    </cfRule>
  </conditionalFormatting>
  <conditionalFormatting sqref="M123:M137">
    <cfRule type="containsText" priority="81" operator="containsText" aboveAverage="0" equalAverage="0" bottom="0" percent="0" rank="0" text="Complete" dxfId="25">
      <formula>NOT(ISERROR(SEARCH("Complete",M123)))</formula>
    </cfRule>
  </conditionalFormatting>
  <conditionalFormatting sqref="M80">
    <cfRule type="containsText" priority="82" operator="containsText" aboveAverage="0" equalAverage="0" bottom="0" percent="0" rank="0" text="Complete" dxfId="25">
      <formula>NOT(ISERROR(SEARCH("Complete",M80)))</formula>
    </cfRule>
    <cfRule type="containsText" priority="83" operator="containsText" aboveAverage="0" equalAverage="0" bottom="0" percent="0" rank="0" text="On Track" dxfId="26">
      <formula>NOT(ISERROR(SEARCH("On Track",M80)))</formula>
    </cfRule>
    <cfRule type="containsText" priority="84" operator="containsText" aboveAverage="0" equalAverage="0" bottom="0" percent="0" rank="0" text="At Risk" dxfId="24">
      <formula>NOT(ISERROR(SEARCH("At Risk",M80)))</formula>
    </cfRule>
    <cfRule type="containsText" priority="85" operator="containsText" aboveAverage="0" equalAverage="0" bottom="0" percent="0" rank="0" text="No Update Received" dxfId="22">
      <formula>NOT(ISERROR(SEARCH("No Update Received",M80)))</formula>
    </cfRule>
    <cfRule type="containsText" priority="86" operator="containsText" aboveAverage="0" equalAverage="0" bottom="0" percent="0" rank="0" text="At Risk" dxfId="24">
      <formula>NOT(ISERROR(SEARCH("At Risk",M80)))</formula>
    </cfRule>
    <cfRule type="containsText" priority="87" operator="containsText" aboveAverage="0" equalAverage="0" bottom="0" percent="0" rank="0" text="At Risk" dxfId="23">
      <formula>NOT(ISERROR(SEARCH("At Risk",M80)))</formula>
    </cfRule>
    <cfRule type="containsText" priority="88" operator="containsText" aboveAverage="0" equalAverage="0" bottom="0" percent="0" rank="0" text="Not Started" dxfId="41">
      <formula>NOT(ISERROR(SEARCH("Not Started",M80)))</formula>
    </cfRule>
    <cfRule type="containsText" priority="89" operator="containsText" aboveAverage="0" equalAverage="0" bottom="0" percent="0" rank="0" text="On Track" dxfId="26">
      <formula>NOT(ISERROR(SEARCH("On Track",M80)))</formula>
    </cfRule>
    <cfRule type="containsText" priority="90" operator="containsText" aboveAverage="0" equalAverage="0" bottom="0" percent="0" rank="0" text="No Update Received" dxfId="22">
      <formula>NOT(ISERROR(SEARCH("No Update Received",M80)))</formula>
    </cfRule>
    <cfRule type="containsText" priority="91" operator="containsText" aboveAverage="0" equalAverage="0" bottom="0" percent="0" rank="0" text="At Risk" dxfId="23">
      <formula>NOT(ISERROR(SEARCH("At Risk",M80)))</formula>
    </cfRule>
    <cfRule type="containsText" priority="92" operator="containsText" aboveAverage="0" equalAverage="0" bottom="0" percent="0" rank="0" text="Complete" dxfId="25">
      <formula>NOT(ISERROR(SEARCH("Complete",M80)))</formula>
    </cfRule>
    <cfRule type="cellIs" priority="93" operator="equal" aboveAverage="0" equalAverage="0" bottom="0" percent="0" rank="0" text="" dxfId="29">
      <formula>"Not Started"</formula>
    </cfRule>
    <cfRule type="containsText" priority="94" operator="containsText" aboveAverage="0" equalAverage="0" bottom="0" percent="0" rank="0" text="Date Changed" dxfId="30">
      <formula>NOT(ISERROR(SEARCH("Date Changed",M80)))</formula>
    </cfRule>
    <cfRule type="containsText" priority="95" operator="containsText" aboveAverage="0" equalAverage="0" bottom="0" percent="0" rank="0" text="At Risk" dxfId="31">
      <formula>NOT(ISERROR(SEARCH("At Risk",M80)))</formula>
    </cfRule>
    <cfRule type="containsText" priority="96" operator="containsText" aboveAverage="0" equalAverage="0" bottom="0" percent="0" rank="0" text="On Track" dxfId="32">
      <formula>NOT(ISERROR(SEARCH("On Track",M80)))</formula>
    </cfRule>
    <cfRule type="containsText" priority="97" operator="containsText" aboveAverage="0" equalAverage="0" bottom="0" percent="0" rank="0" text="Complete" dxfId="33">
      <formula>NOT(ISERROR(SEARCH("Complete",M80)))</formula>
    </cfRule>
    <cfRule type="containsText" priority="98" operator="containsText" aboveAverage="0" equalAverage="0" bottom="0" percent="0" rank="0" text="Delayed" dxfId="34">
      <formula>NOT(ISERROR(SEARCH("Delayed",M80)))</formula>
    </cfRule>
    <cfRule type="cellIs" priority="99" operator="equal" aboveAverage="0" equalAverage="0" bottom="0" percent="0" rank="0" text="" dxfId="35">
      <formula>"Complete"</formula>
    </cfRule>
    <cfRule type="cellIs" priority="100" operator="equal" aboveAverage="0" equalAverage="0" bottom="0" percent="0" rank="0" text="" dxfId="36">
      <formula>"On Track"</formula>
    </cfRule>
    <cfRule type="cellIs" priority="101" operator="equal" aboveAverage="0" equalAverage="0" bottom="0" percent="0" rank="0" text="" dxfId="37">
      <formula>"At Risk"</formula>
    </cfRule>
    <cfRule type="cellIs" priority="102" operator="equal" aboveAverage="0" equalAverage="0" bottom="0" percent="0" rank="0" text="" dxfId="38">
      <formula>"Not Started"</formula>
    </cfRule>
    <cfRule type="cellIs" priority="103" operator="equal" aboveAverage="0" equalAverage="0" bottom="0" percent="0" rank="0" text="" dxfId="39">
      <formula>"No Update Received"</formula>
    </cfRule>
  </conditionalFormatting>
  <conditionalFormatting sqref="M61">
    <cfRule type="containsText" priority="104" operator="containsText" aboveAverage="0" equalAverage="0" bottom="0" percent="0" rank="0" text="Complete" dxfId="25">
      <formula>NOT(ISERROR(SEARCH("Complete",M61)))</formula>
    </cfRule>
    <cfRule type="containsText" priority="105" operator="containsText" aboveAverage="0" equalAverage="0" bottom="0" percent="0" rank="0" text="On Track" dxfId="26">
      <formula>NOT(ISERROR(SEARCH("On Track",M61)))</formula>
    </cfRule>
    <cfRule type="containsText" priority="106" operator="containsText" aboveAverage="0" equalAverage="0" bottom="0" percent="0" rank="0" text="At Risk" dxfId="24">
      <formula>NOT(ISERROR(SEARCH("At Risk",M61)))</formula>
    </cfRule>
    <cfRule type="containsText" priority="107" operator="containsText" aboveAverage="0" equalAverage="0" bottom="0" percent="0" rank="0" text="No Update Received" dxfId="22">
      <formula>NOT(ISERROR(SEARCH("No Update Received",M61)))</formula>
    </cfRule>
    <cfRule type="containsText" priority="108" operator="containsText" aboveAverage="0" equalAverage="0" bottom="0" percent="0" rank="0" text="At Risk" dxfId="24">
      <formula>NOT(ISERROR(SEARCH("At Risk",M61)))</formula>
    </cfRule>
    <cfRule type="containsText" priority="109" operator="containsText" aboveAverage="0" equalAverage="0" bottom="0" percent="0" rank="0" text="At Risk" dxfId="23">
      <formula>NOT(ISERROR(SEARCH("At Risk",M61)))</formula>
    </cfRule>
    <cfRule type="containsText" priority="110" operator="containsText" aboveAverage="0" equalAverage="0" bottom="0" percent="0" rank="0" text="Not Started" dxfId="41">
      <formula>NOT(ISERROR(SEARCH("Not Started",M61)))</formula>
    </cfRule>
    <cfRule type="containsText" priority="111" operator="containsText" aboveAverage="0" equalAverage="0" bottom="0" percent="0" rank="0" text="On Track" dxfId="26">
      <formula>NOT(ISERROR(SEARCH("On Track",M61)))</formula>
    </cfRule>
    <cfRule type="containsText" priority="112" operator="containsText" aboveAverage="0" equalAverage="0" bottom="0" percent="0" rank="0" text="No Update Received" dxfId="22">
      <formula>NOT(ISERROR(SEARCH("No Update Received",M61)))</formula>
    </cfRule>
    <cfRule type="containsText" priority="113" operator="containsText" aboveAverage="0" equalAverage="0" bottom="0" percent="0" rank="0" text="At Risk" dxfId="23">
      <formula>NOT(ISERROR(SEARCH("At Risk",M61)))</formula>
    </cfRule>
    <cfRule type="containsText" priority="114" operator="containsText" aboveAverage="0" equalAverage="0" bottom="0" percent="0" rank="0" text="Complete" dxfId="25">
      <formula>NOT(ISERROR(SEARCH("Complete",M61)))</formula>
    </cfRule>
    <cfRule type="cellIs" priority="115" operator="equal" aboveAverage="0" equalAverage="0" bottom="0" percent="0" rank="0" text="" dxfId="29">
      <formula>"Not Started"</formula>
    </cfRule>
    <cfRule type="containsText" priority="116" operator="containsText" aboveAverage="0" equalAverage="0" bottom="0" percent="0" rank="0" text="Date Changed" dxfId="30">
      <formula>NOT(ISERROR(SEARCH("Date Changed",M61)))</formula>
    </cfRule>
    <cfRule type="containsText" priority="117" operator="containsText" aboveAverage="0" equalAverage="0" bottom="0" percent="0" rank="0" text="At Risk" dxfId="31">
      <formula>NOT(ISERROR(SEARCH("At Risk",M61)))</formula>
    </cfRule>
    <cfRule type="containsText" priority="118" operator="containsText" aboveAverage="0" equalAverage="0" bottom="0" percent="0" rank="0" text="On Track" dxfId="32">
      <formula>NOT(ISERROR(SEARCH("On Track",M61)))</formula>
    </cfRule>
    <cfRule type="containsText" priority="119" operator="containsText" aboveAverage="0" equalAverage="0" bottom="0" percent="0" rank="0" text="Complete" dxfId="33">
      <formula>NOT(ISERROR(SEARCH("Complete",M61)))</formula>
    </cfRule>
    <cfRule type="containsText" priority="120" operator="containsText" aboveAverage="0" equalAverage="0" bottom="0" percent="0" rank="0" text="Delayed" dxfId="34">
      <formula>NOT(ISERROR(SEARCH("Delayed",M61)))</formula>
    </cfRule>
    <cfRule type="cellIs" priority="121" operator="equal" aboveAverage="0" equalAverage="0" bottom="0" percent="0" rank="0" text="" dxfId="35">
      <formula>"Complete"</formula>
    </cfRule>
    <cfRule type="cellIs" priority="122" operator="equal" aboveAverage="0" equalAverage="0" bottom="0" percent="0" rank="0" text="" dxfId="36">
      <formula>"On Track"</formula>
    </cfRule>
    <cfRule type="cellIs" priority="123" operator="equal" aboveAverage="0" equalAverage="0" bottom="0" percent="0" rank="0" text="" dxfId="37">
      <formula>"At Risk"</formula>
    </cfRule>
    <cfRule type="cellIs" priority="124" operator="equal" aboveAverage="0" equalAverage="0" bottom="0" percent="0" rank="0" text="" dxfId="38">
      <formula>"Not Started"</formula>
    </cfRule>
    <cfRule type="cellIs" priority="125" operator="equal" aboveAverage="0" equalAverage="0" bottom="0" percent="0" rank="0" text="" dxfId="39">
      <formula>"No Update Received"</formula>
    </cfRule>
  </conditionalFormatting>
  <conditionalFormatting sqref="M124:M137 M139">
    <cfRule type="containsText" priority="126" operator="containsText" aboveAverage="0" equalAverage="0" bottom="0" percent="0" rank="0" text="On Track" dxfId="26">
      <formula>NOT(ISERROR(SEARCH("On Track",M124)))</formula>
    </cfRule>
    <cfRule type="containsText" priority="127" operator="containsText" aboveAverage="0" equalAverage="0" bottom="0" percent="0" rank="0" text="At Risk" dxfId="24">
      <formula>NOT(ISERROR(SEARCH("At Risk",M124)))</formula>
    </cfRule>
    <cfRule type="containsText" priority="128" operator="containsText" aboveAverage="0" equalAverage="0" bottom="0" percent="0" rank="0" text="No Update Received" dxfId="22">
      <formula>NOT(ISERROR(SEARCH("No Update Received",M124)))</formula>
    </cfRule>
    <cfRule type="containsText" priority="129" operator="containsText" aboveAverage="0" equalAverage="0" bottom="0" percent="0" rank="0" text="At Risk" dxfId="24">
      <formula>NOT(ISERROR(SEARCH("At Risk",M124)))</formula>
    </cfRule>
    <cfRule type="containsText" priority="130" operator="containsText" aboveAverage="0" equalAverage="0" bottom="0" percent="0" rank="0" text="At Risk" dxfId="23">
      <formula>NOT(ISERROR(SEARCH("At Risk",M124)))</formula>
    </cfRule>
    <cfRule type="containsText" priority="131" operator="containsText" aboveAverage="0" equalAverage="0" bottom="0" percent="0" rank="0" text="Not Started" dxfId="41">
      <formula>NOT(ISERROR(SEARCH("Not Started",M124)))</formula>
    </cfRule>
    <cfRule type="containsText" priority="132" operator="containsText" aboveAverage="0" equalAverage="0" bottom="0" percent="0" rank="0" text="On Track" dxfId="26">
      <formula>NOT(ISERROR(SEARCH("On Track",M124)))</formula>
    </cfRule>
    <cfRule type="containsText" priority="133" operator="containsText" aboveAverage="0" equalAverage="0" bottom="0" percent="0" rank="0" text="No Update Received" dxfId="22">
      <formula>NOT(ISERROR(SEARCH("No Update Received",M124)))</formula>
    </cfRule>
    <cfRule type="containsText" priority="134" operator="containsText" aboveAverage="0" equalAverage="0" bottom="0" percent="0" rank="0" text="At Risk" dxfId="23">
      <formula>NOT(ISERROR(SEARCH("At Risk",M124)))</formula>
    </cfRule>
    <cfRule type="cellIs" priority="135" operator="equal" aboveAverage="0" equalAverage="0" bottom="0" percent="0" rank="0" text="" dxfId="29">
      <formula>"Not Started"</formula>
    </cfRule>
    <cfRule type="containsText" priority="136" operator="containsText" aboveAverage="0" equalAverage="0" bottom="0" percent="0" rank="0" text="Date Changed" dxfId="30">
      <formula>NOT(ISERROR(SEARCH("Date Changed",M124)))</formula>
    </cfRule>
    <cfRule type="containsText" priority="137" operator="containsText" aboveAverage="0" equalAverage="0" bottom="0" percent="0" rank="0" text="At Risk" dxfId="31">
      <formula>NOT(ISERROR(SEARCH("At Risk",M124)))</formula>
    </cfRule>
    <cfRule type="containsText" priority="138" operator="containsText" aboveAverage="0" equalAverage="0" bottom="0" percent="0" rank="0" text="On Track" dxfId="32">
      <formula>NOT(ISERROR(SEARCH("On Track",M124)))</formula>
    </cfRule>
    <cfRule type="containsText" priority="139" operator="containsText" aboveAverage="0" equalAverage="0" bottom="0" percent="0" rank="0" text="Complete" dxfId="33">
      <formula>NOT(ISERROR(SEARCH("Complete",M124)))</formula>
    </cfRule>
    <cfRule type="containsText" priority="140" operator="containsText" aboveAverage="0" equalAverage="0" bottom="0" percent="0" rank="0" text="Delayed" dxfId="34">
      <formula>NOT(ISERROR(SEARCH("Delayed",M124)))</formula>
    </cfRule>
    <cfRule type="cellIs" priority="141" operator="equal" aboveAverage="0" equalAverage="0" bottom="0" percent="0" rank="0" text="" dxfId="35">
      <formula>"Complete"</formula>
    </cfRule>
    <cfRule type="cellIs" priority="142" operator="equal" aboveAverage="0" equalAverage="0" bottom="0" percent="0" rank="0" text="" dxfId="36">
      <formula>"On Track"</formula>
    </cfRule>
    <cfRule type="cellIs" priority="143" operator="equal" aboveAverage="0" equalAverage="0" bottom="0" percent="0" rank="0" text="" dxfId="37">
      <formula>"At Risk"</formula>
    </cfRule>
    <cfRule type="cellIs" priority="144" operator="equal" aboveAverage="0" equalAverage="0" bottom="0" percent="0" rank="0" text="" dxfId="38">
      <formula>"Not Started"</formula>
    </cfRule>
    <cfRule type="cellIs" priority="145" operator="equal" aboveAverage="0" equalAverage="0" bottom="0" percent="0" rank="0" text="" dxfId="39">
      <formula>"No Update Received"</formula>
    </cfRule>
  </conditionalFormatting>
  <conditionalFormatting sqref="M124:M137 M139:M145">
    <cfRule type="containsText" priority="146" operator="containsText" aboveAverage="0" equalAverage="0" bottom="0" percent="0" rank="0" text="Complete" dxfId="25">
      <formula>NOT(ISERROR(SEARCH("Complete",M124)))</formula>
    </cfRule>
  </conditionalFormatting>
  <conditionalFormatting sqref="M109:M120">
    <cfRule type="containsText" priority="147" operator="containsText" aboveAverage="0" equalAverage="0" bottom="0" percent="0" rank="0" text="Complete" dxfId="25">
      <formula>NOT(ISERROR(SEARCH("Complete",M109)))</formula>
    </cfRule>
    <cfRule type="containsText" priority="148" operator="containsText" aboveAverage="0" equalAverage="0" bottom="0" percent="0" rank="0" text="On Track" dxfId="26">
      <formula>NOT(ISERROR(SEARCH("On Track",M109)))</formula>
    </cfRule>
    <cfRule type="containsText" priority="149" operator="containsText" aboveAverage="0" equalAverage="0" bottom="0" percent="0" rank="0" text="At Risk" dxfId="24">
      <formula>NOT(ISERROR(SEARCH("At Risk",M109)))</formula>
    </cfRule>
    <cfRule type="containsText" priority="150" operator="containsText" aboveAverage="0" equalAverage="0" bottom="0" percent="0" rank="0" text="No Update Received" dxfId="22">
      <formula>NOT(ISERROR(SEARCH("No Update Received",M109)))</formula>
    </cfRule>
    <cfRule type="containsText" priority="151" operator="containsText" aboveAverage="0" equalAverage="0" bottom="0" percent="0" rank="0" text="At Risk" dxfId="24">
      <formula>NOT(ISERROR(SEARCH("At Risk",M109)))</formula>
    </cfRule>
    <cfRule type="containsText" priority="152" operator="containsText" aboveAverage="0" equalAverage="0" bottom="0" percent="0" rank="0" text="At Risk" dxfId="23">
      <formula>NOT(ISERROR(SEARCH("At Risk",M109)))</formula>
    </cfRule>
    <cfRule type="containsText" priority="153" operator="containsText" aboveAverage="0" equalAverage="0" bottom="0" percent="0" rank="0" text="Not Started" dxfId="41">
      <formula>NOT(ISERROR(SEARCH("Not Started",M109)))</formula>
    </cfRule>
    <cfRule type="containsText" priority="154" operator="containsText" aboveAverage="0" equalAverage="0" bottom="0" percent="0" rank="0" text="On Track" dxfId="26">
      <formula>NOT(ISERROR(SEARCH("On Track",M109)))</formula>
    </cfRule>
    <cfRule type="containsText" priority="155" operator="containsText" aboveAverage="0" equalAverage="0" bottom="0" percent="0" rank="0" text="No Update Received" dxfId="22">
      <formula>NOT(ISERROR(SEARCH("No Update Received",M109)))</formula>
    </cfRule>
    <cfRule type="containsText" priority="156" operator="containsText" aboveAverage="0" equalAverage="0" bottom="0" percent="0" rank="0" text="At Risk" dxfId="23">
      <formula>NOT(ISERROR(SEARCH("At Risk",M109)))</formula>
    </cfRule>
    <cfRule type="cellIs" priority="157" operator="equal" aboveAverage="0" equalAverage="0" bottom="0" percent="0" rank="0" text="" dxfId="29">
      <formula>"Not Started"</formula>
    </cfRule>
    <cfRule type="containsText" priority="158" operator="containsText" aboveAverage="0" equalAverage="0" bottom="0" percent="0" rank="0" text="Date Changed" dxfId="30">
      <formula>NOT(ISERROR(SEARCH("Date Changed",M109)))</formula>
    </cfRule>
    <cfRule type="containsText" priority="159" operator="containsText" aboveAverage="0" equalAverage="0" bottom="0" percent="0" rank="0" text="At Risk" dxfId="31">
      <formula>NOT(ISERROR(SEARCH("At Risk",M109)))</formula>
    </cfRule>
    <cfRule type="containsText" priority="160" operator="containsText" aboveAverage="0" equalAverage="0" bottom="0" percent="0" rank="0" text="On Track" dxfId="32">
      <formula>NOT(ISERROR(SEARCH("On Track",M109)))</formula>
    </cfRule>
    <cfRule type="containsText" priority="161" operator="containsText" aboveAverage="0" equalAverage="0" bottom="0" percent="0" rank="0" text="Complete" dxfId="33">
      <formula>NOT(ISERROR(SEARCH("Complete",M109)))</formula>
    </cfRule>
    <cfRule type="containsText" priority="162" operator="containsText" aboveAverage="0" equalAverage="0" bottom="0" percent="0" rank="0" text="Delayed" dxfId="34">
      <formula>NOT(ISERROR(SEARCH("Delayed",M109)))</formula>
    </cfRule>
    <cfRule type="cellIs" priority="163" operator="equal" aboveAverage="0" equalAverage="0" bottom="0" percent="0" rank="0" text="" dxfId="35">
      <formula>"Complete"</formula>
    </cfRule>
    <cfRule type="cellIs" priority="164" operator="equal" aboveAverage="0" equalAverage="0" bottom="0" percent="0" rank="0" text="" dxfId="36">
      <formula>"On Track"</formula>
    </cfRule>
    <cfRule type="cellIs" priority="165" operator="equal" aboveAverage="0" equalAverage="0" bottom="0" percent="0" rank="0" text="" dxfId="37">
      <formula>"At Risk"</formula>
    </cfRule>
    <cfRule type="cellIs" priority="166" operator="equal" aboveAverage="0" equalAverage="0" bottom="0" percent="0" rank="0" text="" dxfId="38">
      <formula>"Not Started"</formula>
    </cfRule>
    <cfRule type="cellIs" priority="167" operator="equal" aboveAverage="0" equalAverage="0" bottom="0" percent="0" rank="0" text="" dxfId="39">
      <formula>"No Update Received"</formula>
    </cfRule>
  </conditionalFormatting>
  <conditionalFormatting sqref="M8:M39 M109:M122 M152:M329 M337:M361 M394:M1048576">
    <cfRule type="containsText" priority="168" operator="containsText" aboveAverage="0" equalAverage="0" bottom="0" percent="0" rank="0" text="Complete" dxfId="25">
      <formula>NOT(ISERROR(SEARCH("Complete",M8)))</formula>
    </cfRule>
  </conditionalFormatting>
  <conditionalFormatting sqref="M121:M122 M140:M145">
    <cfRule type="containsText" priority="169" operator="containsText" aboveAverage="0" equalAverage="0" bottom="0" percent="0" rank="0" text="On Track" dxfId="26">
      <formula>NOT(ISERROR(SEARCH("On Track",M121)))</formula>
    </cfRule>
    <cfRule type="containsText" priority="170" operator="containsText" aboveAverage="0" equalAverage="0" bottom="0" percent="0" rank="0" text="At Risk" dxfId="24">
      <formula>NOT(ISERROR(SEARCH("At Risk",M121)))</formula>
    </cfRule>
    <cfRule type="containsText" priority="171" operator="containsText" aboveAverage="0" equalAverage="0" bottom="0" percent="0" rank="0" text="No Update Received" dxfId="22">
      <formula>NOT(ISERROR(SEARCH("No Update Received",M121)))</formula>
    </cfRule>
    <cfRule type="containsText" priority="172" operator="containsText" aboveAverage="0" equalAverage="0" bottom="0" percent="0" rank="0" text="At Risk" dxfId="24">
      <formula>NOT(ISERROR(SEARCH("At Risk",M121)))</formula>
    </cfRule>
    <cfRule type="containsText" priority="173" operator="containsText" aboveAverage="0" equalAverage="0" bottom="0" percent="0" rank="0" text="At Risk" dxfId="23">
      <formula>NOT(ISERROR(SEARCH("At Risk",M121)))</formula>
    </cfRule>
    <cfRule type="containsText" priority="174" operator="containsText" aboveAverage="0" equalAverage="0" bottom="0" percent="0" rank="0" text="Not Started" dxfId="41">
      <formula>NOT(ISERROR(SEARCH("Not Started",M121)))</formula>
    </cfRule>
    <cfRule type="containsText" priority="175" operator="containsText" aboveAverage="0" equalAverage="0" bottom="0" percent="0" rank="0" text="On Track" dxfId="26">
      <formula>NOT(ISERROR(SEARCH("On Track",M121)))</formula>
    </cfRule>
    <cfRule type="containsText" priority="176" operator="containsText" aboveAverage="0" equalAverage="0" bottom="0" percent="0" rank="0" text="No Update Received" dxfId="22">
      <formula>NOT(ISERROR(SEARCH("No Update Received",M121)))</formula>
    </cfRule>
    <cfRule type="containsText" priority="177" operator="containsText" aboveAverage="0" equalAverage="0" bottom="0" percent="0" rank="0" text="At Risk" dxfId="23">
      <formula>NOT(ISERROR(SEARCH("At Risk",M121)))</formula>
    </cfRule>
    <cfRule type="containsText" priority="178" operator="containsText" aboveAverage="0" equalAverage="0" bottom="0" percent="0" rank="0" text="Complete" dxfId="25">
      <formula>NOT(ISERROR(SEARCH("Complete",M121)))</formula>
    </cfRule>
    <cfRule type="cellIs" priority="179" operator="equal" aboveAverage="0" equalAverage="0" bottom="0" percent="0" rank="0" text="" dxfId="29">
      <formula>"Not Started"</formula>
    </cfRule>
    <cfRule type="containsText" priority="180" operator="containsText" aboveAverage="0" equalAverage="0" bottom="0" percent="0" rank="0" text="Date Changed" dxfId="30">
      <formula>NOT(ISERROR(SEARCH("Date Changed",M121)))</formula>
    </cfRule>
    <cfRule type="containsText" priority="181" operator="containsText" aboveAverage="0" equalAverage="0" bottom="0" percent="0" rank="0" text="At Risk" dxfId="31">
      <formula>NOT(ISERROR(SEARCH("At Risk",M121)))</formula>
    </cfRule>
    <cfRule type="containsText" priority="182" operator="containsText" aboveAverage="0" equalAverage="0" bottom="0" percent="0" rank="0" text="On Track" dxfId="32">
      <formula>NOT(ISERROR(SEARCH("On Track",M121)))</formula>
    </cfRule>
    <cfRule type="containsText" priority="183" operator="containsText" aboveAverage="0" equalAverage="0" bottom="0" percent="0" rank="0" text="Complete" dxfId="33">
      <formula>NOT(ISERROR(SEARCH("Complete",M121)))</formula>
    </cfRule>
    <cfRule type="containsText" priority="184" operator="containsText" aboveAverage="0" equalAverage="0" bottom="0" percent="0" rank="0" text="Delayed" dxfId="34">
      <formula>NOT(ISERROR(SEARCH("Delayed",M121)))</formula>
    </cfRule>
    <cfRule type="cellIs" priority="185" operator="equal" aboveAverage="0" equalAverage="0" bottom="0" percent="0" rank="0" text="" dxfId="35">
      <formula>"Complete"</formula>
    </cfRule>
    <cfRule type="cellIs" priority="186" operator="equal" aboveAverage="0" equalAverage="0" bottom="0" percent="0" rank="0" text="" dxfId="36">
      <formula>"On Track"</formula>
    </cfRule>
    <cfRule type="cellIs" priority="187" operator="equal" aboveAverage="0" equalAverage="0" bottom="0" percent="0" rank="0" text="" dxfId="37">
      <formula>"At Risk"</formula>
    </cfRule>
    <cfRule type="cellIs" priority="188" operator="equal" aboveAverage="0" equalAverage="0" bottom="0" percent="0" rank="0" text="" dxfId="38">
      <formula>"Not Started"</formula>
    </cfRule>
    <cfRule type="cellIs" priority="189" operator="equal" aboveAverage="0" equalAverage="0" bottom="0" percent="0" rank="0" text="" dxfId="39">
      <formula>"No Update Received"</formula>
    </cfRule>
  </conditionalFormatting>
  <conditionalFormatting sqref="M286:M288">
    <cfRule type="containsText" priority="190" operator="containsText" aboveAverage="0" equalAverage="0" bottom="0" percent="0" rank="0" text="No Update Received" dxfId="22">
      <formula>NOT(ISERROR(SEARCH("No Update Received",M286)))</formula>
    </cfRule>
    <cfRule type="containsText" priority="191" operator="containsText" aboveAverage="0" equalAverage="0" bottom="0" percent="0" rank="0" text="At Risk" dxfId="23">
      <formula>NOT(ISERROR(SEARCH("At Risk",M286)))</formula>
    </cfRule>
  </conditionalFormatting>
  <conditionalFormatting sqref="M261:M262">
    <cfRule type="containsText" priority="192" operator="containsText" aboveAverage="0" equalAverage="0" bottom="0" percent="0" rank="0" text="Not Started" dxfId="41">
      <formula>NOT(ISERROR(SEARCH("Not Started",M261)))</formula>
    </cfRule>
    <cfRule type="containsText" priority="193" operator="containsText" aboveAverage="0" equalAverage="0" bottom="0" percent="0" rank="0" text="On Track" dxfId="26">
      <formula>NOT(ISERROR(SEARCH("On Track",M261)))</formula>
    </cfRule>
    <cfRule type="containsText" priority="194" operator="containsText" aboveAverage="0" equalAverage="0" bottom="0" percent="0" rank="0" text="No Update Received" dxfId="22">
      <formula>NOT(ISERROR(SEARCH("No Update Received",M261)))</formula>
    </cfRule>
    <cfRule type="containsText" priority="195" operator="containsText" aboveAverage="0" equalAverage="0" bottom="0" percent="0" rank="0" text="At Risk" dxfId="23">
      <formula>NOT(ISERROR(SEARCH("At Risk",M261)))</formula>
    </cfRule>
    <cfRule type="containsText" priority="196" operator="containsText" aboveAverage="0" equalAverage="0" bottom="0" percent="0" rank="0" text="Complete" dxfId="25">
      <formula>NOT(ISERROR(SEARCH("Complete",M261)))</formula>
    </cfRule>
    <cfRule type="cellIs" priority="197" operator="equal" aboveAverage="0" equalAverage="0" bottom="0" percent="0" rank="0" text="" dxfId="29">
      <formula>"Not Started"</formula>
    </cfRule>
    <cfRule type="containsText" priority="198" operator="containsText" aboveAverage="0" equalAverage="0" bottom="0" percent="0" rank="0" text="Date Changed" dxfId="30">
      <formula>NOT(ISERROR(SEARCH("Date Changed",M261)))</formula>
    </cfRule>
    <cfRule type="containsText" priority="199" operator="containsText" aboveAverage="0" equalAverage="0" bottom="0" percent="0" rank="0" text="At Risk" dxfId="31">
      <formula>NOT(ISERROR(SEARCH("At Risk",M261)))</formula>
    </cfRule>
    <cfRule type="containsText" priority="200" operator="containsText" aboveAverage="0" equalAverage="0" bottom="0" percent="0" rank="0" text="On Track" dxfId="32">
      <formula>NOT(ISERROR(SEARCH("On Track",M261)))</formula>
    </cfRule>
    <cfRule type="containsText" priority="201" operator="containsText" aboveAverage="0" equalAverage="0" bottom="0" percent="0" rank="0" text="Complete" dxfId="33">
      <formula>NOT(ISERROR(SEARCH("Complete",M261)))</formula>
    </cfRule>
    <cfRule type="containsText" priority="202" operator="containsText" aboveAverage="0" equalAverage="0" bottom="0" percent="0" rank="0" text="Delayed" dxfId="34">
      <formula>NOT(ISERROR(SEARCH("Delayed",M261)))</formula>
    </cfRule>
    <cfRule type="cellIs" priority="203" operator="equal" aboveAverage="0" equalAverage="0" bottom="0" percent="0" rank="0" text="" dxfId="35">
      <formula>"Complete"</formula>
    </cfRule>
    <cfRule type="cellIs" priority="204" operator="equal" aboveAverage="0" equalAverage="0" bottom="0" percent="0" rank="0" text="" dxfId="36">
      <formula>"On Track"</formula>
    </cfRule>
    <cfRule type="cellIs" priority="205" operator="equal" aboveAverage="0" equalAverage="0" bottom="0" percent="0" rank="0" text="" dxfId="37">
      <formula>"At Risk"</formula>
    </cfRule>
    <cfRule type="cellIs" priority="206" operator="equal" aboveAverage="0" equalAverage="0" bottom="0" percent="0" rank="0" text="" dxfId="38">
      <formula>"Not Started"</formula>
    </cfRule>
    <cfRule type="cellIs" priority="207" operator="equal" aboveAverage="0" equalAverage="0" bottom="0" percent="0" rank="0" text="" dxfId="39">
      <formula>"No Update Received"</formula>
    </cfRule>
  </conditionalFormatting>
  <conditionalFormatting sqref="M397:M399">
    <cfRule type="containsText" priority="208" operator="containsText" aboveAverage="0" equalAverage="0" bottom="0" percent="0" rank="0" text="Complete" dxfId="25">
      <formula>NOT(ISERROR(SEARCH("Complete",M397)))</formula>
    </cfRule>
    <cfRule type="containsText" priority="209" operator="containsText" aboveAverage="0" equalAverage="0" bottom="0" percent="0" rank="0" text="On Track" dxfId="26">
      <formula>NOT(ISERROR(SEARCH("On Track",M397)))</formula>
    </cfRule>
    <cfRule type="containsText" priority="210" operator="containsText" aboveAverage="0" equalAverage="0" bottom="0" percent="0" rank="0" text="At Risk" dxfId="24">
      <formula>NOT(ISERROR(SEARCH("At Risk",M397)))</formula>
    </cfRule>
    <cfRule type="containsText" priority="211" operator="containsText" aboveAverage="0" equalAverage="0" bottom="0" percent="0" rank="0" text="No Update Received" dxfId="22">
      <formula>NOT(ISERROR(SEARCH("No Update Received",M397)))</formula>
    </cfRule>
    <cfRule type="containsText" priority="212" operator="containsText" aboveAverage="0" equalAverage="0" bottom="0" percent="0" rank="0" text="At Risk" dxfId="24">
      <formula>NOT(ISERROR(SEARCH("At Risk",M397)))</formula>
    </cfRule>
    <cfRule type="containsText" priority="213" operator="containsText" aboveAverage="0" equalAverage="0" bottom="0" percent="0" rank="0" text="At Risk" dxfId="23">
      <formula>NOT(ISERROR(SEARCH("At Risk",M397)))</formula>
    </cfRule>
    <cfRule type="containsText" priority="214" operator="containsText" aboveAverage="0" equalAverage="0" bottom="0" percent="0" rank="0" text="Not Started" dxfId="27">
      <formula>NOT(ISERROR(SEARCH("Not Started",M397)))</formula>
    </cfRule>
    <cfRule type="containsText" priority="215" operator="containsText" aboveAverage="0" equalAverage="0" bottom="0" percent="0" rank="0" text="On Track" dxfId="26">
      <formula>NOT(ISERROR(SEARCH("On Track",M397)))</formula>
    </cfRule>
    <cfRule type="containsText" priority="216" operator="containsText" aboveAverage="0" equalAverage="0" bottom="0" percent="0" rank="0" text="No Update Received" dxfId="22">
      <formula>NOT(ISERROR(SEARCH("No Update Received",M397)))</formula>
    </cfRule>
    <cfRule type="containsText" priority="217" operator="containsText" aboveAverage="0" equalAverage="0" bottom="0" percent="0" rank="0" text="At Risk" dxfId="23">
      <formula>NOT(ISERROR(SEARCH("At Risk",M397)))</formula>
    </cfRule>
    <cfRule type="cellIs" priority="218" operator="equal" aboveAverage="0" equalAverage="0" bottom="0" percent="0" rank="0" text="" dxfId="42">
      <formula>"Not Started"</formula>
    </cfRule>
    <cfRule type="containsText" priority="219" operator="containsText" aboveAverage="0" equalAverage="0" bottom="0" percent="0" rank="0" text="Date Changed" dxfId="30">
      <formula>NOT(ISERROR(SEARCH("Date Changed",M397)))</formula>
    </cfRule>
    <cfRule type="containsText" priority="220" operator="containsText" aboveAverage="0" equalAverage="0" bottom="0" percent="0" rank="0" text="At Risk" dxfId="31">
      <formula>NOT(ISERROR(SEARCH("At Risk",M397)))</formula>
    </cfRule>
    <cfRule type="containsText" priority="221" operator="containsText" aboveAverage="0" equalAverage="0" bottom="0" percent="0" rank="0" text="On Track" dxfId="32">
      <formula>NOT(ISERROR(SEARCH("On Track",M397)))</formula>
    </cfRule>
    <cfRule type="containsText" priority="222" operator="containsText" aboveAverage="0" equalAverage="0" bottom="0" percent="0" rank="0" text="Complete" dxfId="33">
      <formula>NOT(ISERROR(SEARCH("Complete",M397)))</formula>
    </cfRule>
    <cfRule type="containsText" priority="223" operator="containsText" aboveAverage="0" equalAverage="0" bottom="0" percent="0" rank="0" text="Delayed" dxfId="34">
      <formula>NOT(ISERROR(SEARCH("Delayed",M397)))</formula>
    </cfRule>
    <cfRule type="cellIs" priority="224" operator="equal" aboveAverage="0" equalAverage="0" bottom="0" percent="0" rank="0" text="" dxfId="35">
      <formula>"Complete"</formula>
    </cfRule>
    <cfRule type="cellIs" priority="225" operator="equal" aboveAverage="0" equalAverage="0" bottom="0" percent="0" rank="0" text="" dxfId="36">
      <formula>"On Track"</formula>
    </cfRule>
    <cfRule type="cellIs" priority="226" operator="equal" aboveAverage="0" equalAverage="0" bottom="0" percent="0" rank="0" text="" dxfId="37">
      <formula>"At Risk"</formula>
    </cfRule>
    <cfRule type="cellIs" priority="227" operator="equal" aboveAverage="0" equalAverage="0" bottom="0" percent="0" rank="0" text="" dxfId="38">
      <formula>"Not Started"</formula>
    </cfRule>
    <cfRule type="cellIs" priority="228" operator="equal" aboveAverage="0" equalAverage="0" bottom="0" percent="0" rank="0" text="" dxfId="39">
      <formula>"No Update Received"</formula>
    </cfRule>
    <cfRule type="containsText" priority="229" operator="containsText" aboveAverage="0" equalAverage="0" bottom="0" percent="0" rank="0" text="Not Started" dxfId="41">
      <formula>NOT(ISERROR(SEARCH("Not Started",M397)))</formula>
    </cfRule>
    <cfRule type="containsText" priority="230" operator="containsText" aboveAverage="0" equalAverage="0" bottom="0" percent="0" rank="0" text="On Track" dxfId="26">
      <formula>NOT(ISERROR(SEARCH("On Track",M397)))</formula>
    </cfRule>
    <cfRule type="containsText" priority="231" operator="containsText" aboveAverage="0" equalAverage="0" bottom="0" percent="0" rank="0" text="No Update Received" dxfId="22">
      <formula>NOT(ISERROR(SEARCH("No Update Received",M397)))</formula>
    </cfRule>
    <cfRule type="containsText" priority="232" operator="containsText" aboveAverage="0" equalAverage="0" bottom="0" percent="0" rank="0" text="At Risk" dxfId="23">
      <formula>NOT(ISERROR(SEARCH("At Risk",M397)))</formula>
    </cfRule>
    <cfRule type="cellIs" priority="233" operator="equal" aboveAverage="0" equalAverage="0" bottom="0" percent="0" rank="0" text="" dxfId="29">
      <formula>"Not Started"</formula>
    </cfRule>
    <cfRule type="containsText" priority="234" operator="containsText" aboveAverage="0" equalAverage="0" bottom="0" percent="0" rank="0" text="Date Changed" dxfId="30">
      <formula>NOT(ISERROR(SEARCH("Date Changed",M397)))</formula>
    </cfRule>
    <cfRule type="containsText" priority="235" operator="containsText" aboveAverage="0" equalAverage="0" bottom="0" percent="0" rank="0" text="At Risk" dxfId="31">
      <formula>NOT(ISERROR(SEARCH("At Risk",M397)))</formula>
    </cfRule>
    <cfRule type="containsText" priority="236" operator="containsText" aboveAverage="0" equalAverage="0" bottom="0" percent="0" rank="0" text="On Track" dxfId="32">
      <formula>NOT(ISERROR(SEARCH("On Track",M397)))</formula>
    </cfRule>
    <cfRule type="containsText" priority="237" operator="containsText" aboveAverage="0" equalAverage="0" bottom="0" percent="0" rank="0" text="Complete" dxfId="33">
      <formula>NOT(ISERROR(SEARCH("Complete",M397)))</formula>
    </cfRule>
    <cfRule type="containsText" priority="238" operator="containsText" aboveAverage="0" equalAverage="0" bottom="0" percent="0" rank="0" text="Delayed" dxfId="34">
      <formula>NOT(ISERROR(SEARCH("Delayed",M397)))</formula>
    </cfRule>
    <cfRule type="cellIs" priority="239" operator="equal" aboveAverage="0" equalAverage="0" bottom="0" percent="0" rank="0" text="" dxfId="35">
      <formula>"Complete"</formula>
    </cfRule>
    <cfRule type="cellIs" priority="240" operator="equal" aboveAverage="0" equalAverage="0" bottom="0" percent="0" rank="0" text="" dxfId="36">
      <formula>"On Track"</formula>
    </cfRule>
    <cfRule type="cellIs" priority="241" operator="equal" aboveAverage="0" equalAverage="0" bottom="0" percent="0" rank="0" text="" dxfId="37">
      <formula>"At Risk"</formula>
    </cfRule>
    <cfRule type="cellIs" priority="242" operator="equal" aboveAverage="0" equalAverage="0" bottom="0" percent="0" rank="0" text="" dxfId="38">
      <formula>"Not Started"</formula>
    </cfRule>
    <cfRule type="cellIs" priority="243" operator="equal" aboveAverage="0" equalAverage="0" bottom="0" percent="0" rank="0" text="" dxfId="39">
      <formula>"No Update Received"</formula>
    </cfRule>
  </conditionalFormatting>
  <conditionalFormatting sqref="M395:M399">
    <cfRule type="containsText" priority="244" operator="containsText" aboveAverage="0" equalAverage="0" bottom="0" percent="0" rank="0" text="Complete" dxfId="25">
      <formula>NOT(ISERROR(SEARCH("Complete",M395)))</formula>
    </cfRule>
    <cfRule type="containsText" priority="245" operator="containsText" aboveAverage="0" equalAverage="0" bottom="0" percent="0" rank="0" text="Not Started" dxfId="41">
      <formula>NOT(ISERROR(SEARCH("Not Started",M395)))</formula>
    </cfRule>
    <cfRule type="containsText" priority="246" operator="containsText" aboveAverage="0" equalAverage="0" bottom="0" percent="0" rank="0" text="On Track" dxfId="26">
      <formula>NOT(ISERROR(SEARCH("On Track",M395)))</formula>
    </cfRule>
    <cfRule type="containsText" priority="247" operator="containsText" aboveAverage="0" equalAverage="0" bottom="0" percent="0" rank="0" text="No Update Received" dxfId="22">
      <formula>NOT(ISERROR(SEARCH("No Update Received",M395)))</formula>
    </cfRule>
    <cfRule type="containsText" priority="248" operator="containsText" aboveAverage="0" equalAverage="0" bottom="0" percent="0" rank="0" text="At Risk" dxfId="23">
      <formula>NOT(ISERROR(SEARCH("At Risk",M395)))</formula>
    </cfRule>
    <cfRule type="containsText" priority="249" operator="containsText" aboveAverage="0" equalAverage="0" bottom="0" percent="0" rank="0" text="Complete" dxfId="25">
      <formula>NOT(ISERROR(SEARCH("Complete",M395)))</formula>
    </cfRule>
    <cfRule type="cellIs" priority="250" operator="equal" aboveAverage="0" equalAverage="0" bottom="0" percent="0" rank="0" text="" dxfId="29">
      <formula>"Not Started"</formula>
    </cfRule>
    <cfRule type="containsText" priority="251" operator="containsText" aboveAverage="0" equalAverage="0" bottom="0" percent="0" rank="0" text="Date Changed" dxfId="30">
      <formula>NOT(ISERROR(SEARCH("Date Changed",M395)))</formula>
    </cfRule>
    <cfRule type="containsText" priority="252" operator="containsText" aboveAverage="0" equalAverage="0" bottom="0" percent="0" rank="0" text="At Risk" dxfId="31">
      <formula>NOT(ISERROR(SEARCH("At Risk",M395)))</formula>
    </cfRule>
    <cfRule type="containsText" priority="253" operator="containsText" aboveAverage="0" equalAverage="0" bottom="0" percent="0" rank="0" text="On Track" dxfId="32">
      <formula>NOT(ISERROR(SEARCH("On Track",M395)))</formula>
    </cfRule>
    <cfRule type="containsText" priority="254" operator="containsText" aboveAverage="0" equalAverage="0" bottom="0" percent="0" rank="0" text="Complete" dxfId="33">
      <formula>NOT(ISERROR(SEARCH("Complete",M395)))</formula>
    </cfRule>
    <cfRule type="containsText" priority="255" operator="containsText" aboveAverage="0" equalAverage="0" bottom="0" percent="0" rank="0" text="Delayed" dxfId="34">
      <formula>NOT(ISERROR(SEARCH("Delayed",M395)))</formula>
    </cfRule>
    <cfRule type="cellIs" priority="256" operator="equal" aboveAverage="0" equalAverage="0" bottom="0" percent="0" rank="0" text="" dxfId="35">
      <formula>"Complete"</formula>
    </cfRule>
    <cfRule type="cellIs" priority="257" operator="equal" aboveAverage="0" equalAverage="0" bottom="0" percent="0" rank="0" text="" dxfId="36">
      <formula>"On Track"</formula>
    </cfRule>
    <cfRule type="cellIs" priority="258" operator="equal" aboveAverage="0" equalAverage="0" bottom="0" percent="0" rank="0" text="" dxfId="37">
      <formula>"At Risk"</formula>
    </cfRule>
    <cfRule type="cellIs" priority="259" operator="equal" aboveAverage="0" equalAverage="0" bottom="0" percent="0" rank="0" text="" dxfId="38">
      <formula>"Not Started"</formula>
    </cfRule>
    <cfRule type="cellIs" priority="260" operator="equal" aboveAverage="0" equalAverage="0" bottom="0" percent="0" rank="0" text="" dxfId="39">
      <formula>"No Update Received"</formula>
    </cfRule>
  </conditionalFormatting>
  <conditionalFormatting sqref="M395:M396">
    <cfRule type="containsText" priority="261" operator="containsText" aboveAverage="0" equalAverage="0" bottom="0" percent="0" rank="0" text="On Track" dxfId="26">
      <formula>NOT(ISERROR(SEARCH("On Track",M395)))</formula>
    </cfRule>
    <cfRule type="containsText" priority="262" operator="containsText" aboveAverage="0" equalAverage="0" bottom="0" percent="0" rank="0" text="At Risk" dxfId="24">
      <formula>NOT(ISERROR(SEARCH("At Risk",M395)))</formula>
    </cfRule>
    <cfRule type="containsText" priority="263" operator="containsText" aboveAverage="0" equalAverage="0" bottom="0" percent="0" rank="0" text="No Update Received" dxfId="22">
      <formula>NOT(ISERROR(SEARCH("No Update Received",M395)))</formula>
    </cfRule>
    <cfRule type="containsText" priority="264" operator="containsText" aboveAverage="0" equalAverage="0" bottom="0" percent="0" rank="0" text="At Risk" dxfId="24">
      <formula>NOT(ISERROR(SEARCH("At Risk",M395)))</formula>
    </cfRule>
    <cfRule type="containsText" priority="265" operator="containsText" aboveAverage="0" equalAverage="0" bottom="0" percent="0" rank="0" text="At Risk" dxfId="23">
      <formula>NOT(ISERROR(SEARCH("At Risk",M395)))</formula>
    </cfRule>
    <cfRule type="containsText" priority="266" operator="containsText" aboveAverage="0" equalAverage="0" bottom="0" percent="0" rank="0" text="Not Started" dxfId="27">
      <formula>NOT(ISERROR(SEARCH("Not Started",M395)))</formula>
    </cfRule>
    <cfRule type="containsText" priority="267" operator="containsText" aboveAverage="0" equalAverage="0" bottom="0" percent="0" rank="0" text="On Track" dxfId="26">
      <formula>NOT(ISERROR(SEARCH("On Track",M395)))</formula>
    </cfRule>
    <cfRule type="containsText" priority="268" operator="containsText" aboveAverage="0" equalAverage="0" bottom="0" percent="0" rank="0" text="No Update Received" dxfId="22">
      <formula>NOT(ISERROR(SEARCH("No Update Received",M395)))</formula>
    </cfRule>
    <cfRule type="containsText" priority="269" operator="containsText" aboveAverage="0" equalAverage="0" bottom="0" percent="0" rank="0" text="At Risk" dxfId="23">
      <formula>NOT(ISERROR(SEARCH("At Risk",M395)))</formula>
    </cfRule>
    <cfRule type="cellIs" priority="270" operator="equal" aboveAverage="0" equalAverage="0" bottom="0" percent="0" rank="0" text="" dxfId="42">
      <formula>"Not Started"</formula>
    </cfRule>
    <cfRule type="containsText" priority="271" operator="containsText" aboveAverage="0" equalAverage="0" bottom="0" percent="0" rank="0" text="Date Changed" dxfId="30">
      <formula>NOT(ISERROR(SEARCH("Date Changed",M395)))</formula>
    </cfRule>
    <cfRule type="containsText" priority="272" operator="containsText" aboveAverage="0" equalAverage="0" bottom="0" percent="0" rank="0" text="At Risk" dxfId="31">
      <formula>NOT(ISERROR(SEARCH("At Risk",M395)))</formula>
    </cfRule>
    <cfRule type="containsText" priority="273" operator="containsText" aboveAverage="0" equalAverage="0" bottom="0" percent="0" rank="0" text="On Track" dxfId="32">
      <formula>NOT(ISERROR(SEARCH("On Track",M395)))</formula>
    </cfRule>
    <cfRule type="containsText" priority="274" operator="containsText" aboveAverage="0" equalAverage="0" bottom="0" percent="0" rank="0" text="Complete" dxfId="33">
      <formula>NOT(ISERROR(SEARCH("Complete",M395)))</formula>
    </cfRule>
    <cfRule type="containsText" priority="275" operator="containsText" aboveAverage="0" equalAverage="0" bottom="0" percent="0" rank="0" text="Delayed" dxfId="34">
      <formula>NOT(ISERROR(SEARCH("Delayed",M395)))</formula>
    </cfRule>
    <cfRule type="cellIs" priority="276" operator="equal" aboveAverage="0" equalAverage="0" bottom="0" percent="0" rank="0" text="" dxfId="35">
      <formula>"Complete"</formula>
    </cfRule>
    <cfRule type="cellIs" priority="277" operator="equal" aboveAverage="0" equalAverage="0" bottom="0" percent="0" rank="0" text="" dxfId="36">
      <formula>"On Track"</formula>
    </cfRule>
    <cfRule type="cellIs" priority="278" operator="equal" aboveAverage="0" equalAverage="0" bottom="0" percent="0" rank="0" text="" dxfId="37">
      <formula>"At Risk"</formula>
    </cfRule>
    <cfRule type="cellIs" priority="279" operator="equal" aboveAverage="0" equalAverage="0" bottom="0" percent="0" rank="0" text="" dxfId="38">
      <formula>"Not Started"</formula>
    </cfRule>
    <cfRule type="cellIs" priority="280" operator="equal" aboveAverage="0" equalAverage="0" bottom="0" percent="0" rank="0" text="" dxfId="39">
      <formula>"No Update Received"</formula>
    </cfRule>
  </conditionalFormatting>
  <conditionalFormatting sqref="M401">
    <cfRule type="cellIs" priority="281" operator="equal" aboveAverage="0" equalAverage="0" bottom="0" percent="0" rank="0" text="" dxfId="35">
      <formula>"Complete"</formula>
    </cfRule>
    <cfRule type="cellIs" priority="282" operator="equal" aboveAverage="0" equalAverage="0" bottom="0" percent="0" rank="0" text="" dxfId="36">
      <formula>"On Track"</formula>
    </cfRule>
    <cfRule type="cellIs" priority="283" operator="equal" aboveAverage="0" equalAverage="0" bottom="0" percent="0" rank="0" text="" dxfId="37">
      <formula>"At Risk"</formula>
    </cfRule>
    <cfRule type="cellIs" priority="284" operator="equal" aboveAverage="0" equalAverage="0" bottom="0" percent="0" rank="0" text="" dxfId="38">
      <formula>"Not Started"</formula>
    </cfRule>
    <cfRule type="cellIs" priority="285" operator="equal" aboveAverage="0" equalAverage="0" bottom="0" percent="0" rank="0" text="" dxfId="43">
      <formula>"No Update Received"</formula>
    </cfRule>
  </conditionalFormatting>
  <conditionalFormatting sqref="M280:M304">
    <cfRule type="containsText" priority="286" operator="containsText" aboveAverage="0" equalAverage="0" bottom="0" percent="0" rank="0" text="Complete" dxfId="25">
      <formula>NOT(ISERROR(SEARCH("Complete",M280)))</formula>
    </cfRule>
    <cfRule type="containsText" priority="287" operator="containsText" aboveAverage="0" equalAverage="0" bottom="0" percent="0" rank="0" text="On Track" dxfId="26">
      <formula>NOT(ISERROR(SEARCH("On Track",M280)))</formula>
    </cfRule>
  </conditionalFormatting>
  <conditionalFormatting sqref="M301">
    <cfRule type="containsText" priority="288" operator="containsText" aboveAverage="0" equalAverage="0" bottom="0" percent="0" rank="0" text="At Risk" dxfId="24">
      <formula>NOT(ISERROR(SEARCH("At Risk",M301)))</formula>
    </cfRule>
    <cfRule type="containsText" priority="289" operator="containsText" aboveAverage="0" equalAverage="0" bottom="0" percent="0" rank="0" text="No Update Received" dxfId="22">
      <formula>NOT(ISERROR(SEARCH("No Update Received",M301)))</formula>
    </cfRule>
    <cfRule type="containsText" priority="290" operator="containsText" aboveAverage="0" equalAverage="0" bottom="0" percent="0" rank="0" text="At Risk" dxfId="24">
      <formula>NOT(ISERROR(SEARCH("At Risk",M301)))</formula>
    </cfRule>
    <cfRule type="containsText" priority="291" operator="containsText" aboveAverage="0" equalAverage="0" bottom="0" percent="0" rank="0" text="At Risk" dxfId="23">
      <formula>NOT(ISERROR(SEARCH("At Risk",M301)))</formula>
    </cfRule>
  </conditionalFormatting>
  <conditionalFormatting sqref="M178:M179">
    <cfRule type="containsText" priority="292" operator="containsText" aboveAverage="0" equalAverage="0" bottom="0" percent="0" rank="0" text="Complete" dxfId="25">
      <formula>NOT(ISERROR(SEARCH("Complete",M178)))</formula>
    </cfRule>
    <cfRule type="containsText" priority="293" operator="containsText" aboveAverage="0" equalAverage="0" bottom="0" percent="0" rank="0" text="On Track" dxfId="26">
      <formula>NOT(ISERROR(SEARCH("On Track",M178)))</formula>
    </cfRule>
    <cfRule type="containsText" priority="294" operator="containsText" aboveAverage="0" equalAverage="0" bottom="0" percent="0" rank="0" text="At Risk" dxfId="24">
      <formula>NOT(ISERROR(SEARCH("At Risk",M178)))</formula>
    </cfRule>
  </conditionalFormatting>
  <conditionalFormatting sqref="M179 M287:M291 M296:M299">
    <cfRule type="containsText" priority="295" operator="containsText" aboveAverage="0" equalAverage="0" bottom="0" percent="0" rank="0" text="At Risk" dxfId="24">
      <formula>NOT(ISERROR(SEARCH("At Risk",M179)))</formula>
    </cfRule>
    <cfRule type="containsText" priority="296" operator="containsText" aboveAverage="0" equalAverage="0" bottom="0" percent="0" rank="0" text="No Update Received" dxfId="22">
      <formula>NOT(ISERROR(SEARCH("No Update Received",M179)))</formula>
    </cfRule>
    <cfRule type="containsText" priority="297" operator="containsText" aboveAverage="0" equalAverage="0" bottom="0" percent="0" rank="0" text="At Risk" dxfId="23">
      <formula>NOT(ISERROR(SEARCH("At Risk",M179)))</formula>
    </cfRule>
  </conditionalFormatting>
  <conditionalFormatting sqref="J178 J280:J295 J302:J311">
    <cfRule type="containsText" priority="298" operator="containsText" aboveAverage="0" equalAverage="0" bottom="0" percent="0" rank="0" text="Not Started" dxfId="27">
      <formula>NOT(ISERROR(SEARCH("Not Started",J178)))</formula>
    </cfRule>
    <cfRule type="containsText" priority="299" operator="containsText" aboveAverage="0" equalAverage="0" bottom="0" percent="0" rank="0" text="On Track" dxfId="26">
      <formula>NOT(ISERROR(SEARCH("On Track",J178)))</formula>
    </cfRule>
    <cfRule type="containsText" priority="300" operator="containsText" aboveAverage="0" equalAverage="0" bottom="0" percent="0" rank="0" text="No Update Received" dxfId="22">
      <formula>NOT(ISERROR(SEARCH("No Update Received",J178)))</formula>
    </cfRule>
    <cfRule type="containsText" priority="301" operator="containsText" aboveAverage="0" equalAverage="0" bottom="0" percent="0" rank="0" text="At Risk" dxfId="23">
      <formula>NOT(ISERROR(SEARCH("At Risk",J178)))</formula>
    </cfRule>
    <cfRule type="containsText" priority="302" operator="containsText" aboveAverage="0" equalAverage="0" bottom="0" percent="0" rank="0" text="Complete" dxfId="25">
      <formula>NOT(ISERROR(SEARCH("Complete",J178)))</formula>
    </cfRule>
  </conditionalFormatting>
  <conditionalFormatting sqref="M178 M280:M285">
    <cfRule type="containsText" priority="303" operator="containsText" aboveAverage="0" equalAverage="0" bottom="0" percent="0" rank="0" text="No Update Received" dxfId="22">
      <formula>NOT(ISERROR(SEARCH("No Update Received",M178)))</formula>
    </cfRule>
    <cfRule type="containsText" priority="304" operator="containsText" aboveAverage="0" equalAverage="0" bottom="0" percent="0" rank="0" text="At Risk" dxfId="23">
      <formula>NOT(ISERROR(SEARCH("At Risk",M178)))</formula>
    </cfRule>
  </conditionalFormatting>
  <conditionalFormatting sqref="M178 M280:M299">
    <cfRule type="containsText" priority="305" operator="containsText" aboveAverage="0" equalAverage="0" bottom="0" percent="0" rank="0" text="At Risk" dxfId="24">
      <formula>NOT(ISERROR(SEARCH("At Risk",M178)))</formula>
    </cfRule>
  </conditionalFormatting>
  <conditionalFormatting sqref="M325:M327">
    <cfRule type="containsText" priority="306" operator="containsText" aboveAverage="0" equalAverage="0" bottom="0" percent="0" rank="0" text="Complete" dxfId="25">
      <formula>NOT(ISERROR(SEARCH("Complete",M325)))</formula>
    </cfRule>
    <cfRule type="containsText" priority="307" operator="containsText" aboveAverage="0" equalAverage="0" bottom="0" percent="0" rank="0" text="On Track" dxfId="26">
      <formula>NOT(ISERROR(SEARCH("On Track",M325)))</formula>
    </cfRule>
  </conditionalFormatting>
  <conditionalFormatting sqref="J315 J325:J327">
    <cfRule type="containsText" priority="308" operator="containsText" aboveAverage="0" equalAverage="0" bottom="0" percent="0" rank="0" text="Not Started" dxfId="27">
      <formula>NOT(ISERROR(SEARCH("Not Started",J315)))</formula>
    </cfRule>
    <cfRule type="containsText" priority="309" operator="containsText" aboveAverage="0" equalAverage="0" bottom="0" percent="0" rank="0" text="On Track" dxfId="26">
      <formula>NOT(ISERROR(SEARCH("On Track",J315)))</formula>
    </cfRule>
    <cfRule type="containsText" priority="310" operator="containsText" aboveAverage="0" equalAverage="0" bottom="0" percent="0" rank="0" text="No Update Received" dxfId="22">
      <formula>NOT(ISERROR(SEARCH("No Update Received",J315)))</formula>
    </cfRule>
    <cfRule type="containsText" priority="311" operator="containsText" aboveAverage="0" equalAverage="0" bottom="0" percent="0" rank="0" text="At Risk" dxfId="23">
      <formula>NOT(ISERROR(SEARCH("At Risk",J315)))</formula>
    </cfRule>
    <cfRule type="containsText" priority="312" operator="containsText" aboveAverage="0" equalAverage="0" bottom="0" percent="0" rank="0" text="Complete" dxfId="25">
      <formula>NOT(ISERROR(SEARCH("Complete",J315)))</formula>
    </cfRule>
  </conditionalFormatting>
  <conditionalFormatting sqref="M327">
    <cfRule type="containsText" priority="313" operator="containsText" aboveAverage="0" equalAverage="0" bottom="0" percent="0" rank="0" text="At Risk" dxfId="24">
      <formula>NOT(ISERROR(SEARCH("At Risk",M327)))</formula>
    </cfRule>
    <cfRule type="containsText" priority="314" operator="containsText" aboveAverage="0" equalAverage="0" bottom="0" percent="0" rank="0" text="No Update Received" dxfId="22">
      <formula>NOT(ISERROR(SEARCH("No Update Received",M327)))</formula>
    </cfRule>
    <cfRule type="containsText" priority="315" operator="containsText" aboveAverage="0" equalAverage="0" bottom="0" percent="0" rank="0" text="At Risk" dxfId="23">
      <formula>NOT(ISERROR(SEARCH("At Risk",M327)))</formula>
    </cfRule>
  </conditionalFormatting>
  <conditionalFormatting sqref="M326:M327">
    <cfRule type="containsText" priority="316" operator="containsText" aboveAverage="0" equalAverage="0" bottom="0" percent="0" rank="0" text="At Risk" dxfId="24">
      <formula>NOT(ISERROR(SEARCH("At Risk",M326)))</formula>
    </cfRule>
  </conditionalFormatting>
  <conditionalFormatting sqref="M326">
    <cfRule type="containsText" priority="317" operator="containsText" aboveAverage="0" equalAverage="0" bottom="0" percent="0" rank="0" text="No Update Received" dxfId="22">
      <formula>NOT(ISERROR(SEARCH("No Update Received",M326)))</formula>
    </cfRule>
    <cfRule type="containsText" priority="318" operator="containsText" aboveAverage="0" equalAverage="0" bottom="0" percent="0" rank="0" text="At Risk" dxfId="23">
      <formula>NOT(ISERROR(SEARCH("At Risk",M326)))</formula>
    </cfRule>
  </conditionalFormatting>
  <conditionalFormatting sqref="M325:M326">
    <cfRule type="containsText" priority="319" operator="containsText" aboveAverage="0" equalAverage="0" bottom="0" percent="0" rank="0" text="At Risk" dxfId="24">
      <formula>NOT(ISERROR(SEARCH("At Risk",M325)))</formula>
    </cfRule>
  </conditionalFormatting>
  <conditionalFormatting sqref="M325">
    <cfRule type="containsText" priority="320" operator="containsText" aboveAverage="0" equalAverage="0" bottom="0" percent="0" rank="0" text="No Update Received" dxfId="22">
      <formula>NOT(ISERROR(SEARCH("No Update Received",M325)))</formula>
    </cfRule>
    <cfRule type="containsText" priority="321" operator="containsText" aboveAverage="0" equalAverage="0" bottom="0" percent="0" rank="0" text="At Risk" dxfId="24">
      <formula>NOT(ISERROR(SEARCH("At Risk",M325)))</formula>
    </cfRule>
    <cfRule type="containsText" priority="322" operator="containsText" aboveAverage="0" equalAverage="0" bottom="0" percent="0" rank="0" text="At Risk" dxfId="23">
      <formula>NOT(ISERROR(SEARCH("At Risk",M325)))</formula>
    </cfRule>
  </conditionalFormatting>
  <conditionalFormatting sqref="M312:M315 M318:M319">
    <cfRule type="containsText" priority="323" operator="containsText" aboveAverage="0" equalAverage="0" bottom="0" percent="0" rank="0" text="Complete" dxfId="25">
      <formula>NOT(ISERROR(SEARCH("Complete",M312)))</formula>
    </cfRule>
    <cfRule type="containsText" priority="324" operator="containsText" aboveAverage="0" equalAverage="0" bottom="0" percent="0" rank="0" text="On Track" dxfId="26">
      <formula>NOT(ISERROR(SEARCH("On Track",M312)))</formula>
    </cfRule>
  </conditionalFormatting>
  <conditionalFormatting sqref="M319">
    <cfRule type="containsText" priority="325" operator="containsText" aboveAverage="0" equalAverage="0" bottom="0" percent="0" rank="0" text="At Risk" dxfId="24">
      <formula>NOT(ISERROR(SEARCH("At Risk",M319)))</formula>
    </cfRule>
    <cfRule type="containsText" priority="326" operator="containsText" aboveAverage="0" equalAverage="0" bottom="0" percent="0" rank="0" text="No Update Received" dxfId="22">
      <formula>NOT(ISERROR(SEARCH("No Update Received",M319)))</formula>
    </cfRule>
    <cfRule type="containsText" priority="327" operator="containsText" aboveAverage="0" equalAverage="0" bottom="0" percent="0" rank="0" text="At Risk" dxfId="23">
      <formula>NOT(ISERROR(SEARCH("At Risk",M319)))</formula>
    </cfRule>
  </conditionalFormatting>
  <conditionalFormatting sqref="M318:M319">
    <cfRule type="containsText" priority="328" operator="containsText" aboveAverage="0" equalAverage="0" bottom="0" percent="0" rank="0" text="At Risk" dxfId="24">
      <formula>NOT(ISERROR(SEARCH("At Risk",M318)))</formula>
    </cfRule>
  </conditionalFormatting>
  <conditionalFormatting sqref="M318">
    <cfRule type="containsText" priority="329" operator="containsText" aboveAverage="0" equalAverage="0" bottom="0" percent="0" rank="0" text="No Update Received" dxfId="22">
      <formula>NOT(ISERROR(SEARCH("No Update Received",M318)))</formula>
    </cfRule>
    <cfRule type="containsText" priority="330" operator="containsText" aboveAverage="0" equalAverage="0" bottom="0" percent="0" rank="0" text="At Risk" dxfId="24">
      <formula>NOT(ISERROR(SEARCH("At Risk",M318)))</formula>
    </cfRule>
    <cfRule type="containsText" priority="331" operator="containsText" aboveAverage="0" equalAverage="0" bottom="0" percent="0" rank="0" text="At Risk" dxfId="23">
      <formula>NOT(ISERROR(SEARCH("At Risk",M318)))</formula>
    </cfRule>
  </conditionalFormatting>
  <conditionalFormatting sqref="M315">
    <cfRule type="containsText" priority="332" operator="containsText" aboveAverage="0" equalAverage="0" bottom="0" percent="0" rank="0" text="At Risk" dxfId="24">
      <formula>NOT(ISERROR(SEARCH("At Risk",M315)))</formula>
    </cfRule>
    <cfRule type="containsText" priority="333" operator="containsText" aboveAverage="0" equalAverage="0" bottom="0" percent="0" rank="0" text="No Update Received" dxfId="22">
      <formula>NOT(ISERROR(SEARCH("No Update Received",M315)))</formula>
    </cfRule>
    <cfRule type="containsText" priority="334" operator="containsText" aboveAverage="0" equalAverage="0" bottom="0" percent="0" rank="0" text="At Risk" dxfId="23">
      <formula>NOT(ISERROR(SEARCH("At Risk",M315)))</formula>
    </cfRule>
  </conditionalFormatting>
  <conditionalFormatting sqref="M312:M315">
    <cfRule type="containsText" priority="335" operator="containsText" aboveAverage="0" equalAverage="0" bottom="0" percent="0" rank="0" text="At Risk" dxfId="24">
      <formula>NOT(ISERROR(SEARCH("At Risk",M312)))</formula>
    </cfRule>
  </conditionalFormatting>
  <conditionalFormatting sqref="M312:M314">
    <cfRule type="containsText" priority="336" operator="containsText" aboveAverage="0" equalAverage="0" bottom="0" percent="0" rank="0" text="No Update Received" dxfId="22">
      <formula>NOT(ISERROR(SEARCH("No Update Received",M312)))</formula>
    </cfRule>
    <cfRule type="containsText" priority="337" operator="containsText" aboveAverage="0" equalAverage="0" bottom="0" percent="0" rank="0" text="At Risk" dxfId="24">
      <formula>NOT(ISERROR(SEARCH("At Risk",M312)))</formula>
    </cfRule>
    <cfRule type="containsText" priority="338" operator="containsText" aboveAverage="0" equalAverage="0" bottom="0" percent="0" rank="0" text="At Risk" dxfId="23">
      <formula>NOT(ISERROR(SEARCH("At Risk",M312)))</formula>
    </cfRule>
    <cfRule type="containsText" priority="339" operator="containsText" aboveAverage="0" equalAverage="0" bottom="0" percent="0" rank="0" text="Not Started" dxfId="27">
      <formula>NOT(ISERROR(SEARCH("Not Started",M312)))</formula>
    </cfRule>
    <cfRule type="containsText" priority="340" operator="containsText" aboveAverage="0" equalAverage="0" bottom="0" percent="0" rank="0" text="No Update Received" dxfId="22">
      <formula>NOT(ISERROR(SEARCH("No Update Received",M312)))</formula>
    </cfRule>
    <cfRule type="containsText" priority="341" operator="containsText" aboveAverage="0" equalAverage="0" bottom="0" percent="0" rank="0" text="At Risk" dxfId="23">
      <formula>NOT(ISERROR(SEARCH("At Risk",M312)))</formula>
    </cfRule>
    <cfRule type="cellIs" priority="342" operator="equal" aboveAverage="0" equalAverage="0" bottom="0" percent="0" rank="0" text="" dxfId="42">
      <formula>"Not Started"</formula>
    </cfRule>
    <cfRule type="containsText" priority="343" operator="containsText" aboveAverage="0" equalAverage="0" bottom="0" percent="0" rank="0" text="Date Changed" dxfId="30">
      <formula>NOT(ISERROR(SEARCH("Date Changed",M312)))</formula>
    </cfRule>
    <cfRule type="containsText" priority="344" operator="containsText" aboveAverage="0" equalAverage="0" bottom="0" percent="0" rank="0" text="At Risk" dxfId="31">
      <formula>NOT(ISERROR(SEARCH("At Risk",M312)))</formula>
    </cfRule>
    <cfRule type="containsText" priority="345" operator="containsText" aboveAverage="0" equalAverage="0" bottom="0" percent="0" rank="0" text="On Track" dxfId="32">
      <formula>NOT(ISERROR(SEARCH("On Track",M312)))</formula>
    </cfRule>
    <cfRule type="containsText" priority="346" operator="containsText" aboveAverage="0" equalAverage="0" bottom="0" percent="0" rank="0" text="Complete" dxfId="33">
      <formula>NOT(ISERROR(SEARCH("Complete",M312)))</formula>
    </cfRule>
    <cfRule type="containsText" priority="347" operator="containsText" aboveAverage="0" equalAverage="0" bottom="0" percent="0" rank="0" text="Delayed" dxfId="34">
      <formula>NOT(ISERROR(SEARCH("Delayed",M312)))</formula>
    </cfRule>
    <cfRule type="cellIs" priority="348" operator="equal" aboveAverage="0" equalAverage="0" bottom="0" percent="0" rank="0" text="" dxfId="35">
      <formula>"Complete"</formula>
    </cfRule>
    <cfRule type="cellIs" priority="349" operator="equal" aboveAverage="0" equalAverage="0" bottom="0" percent="0" rank="0" text="" dxfId="36">
      <formula>"On Track"</formula>
    </cfRule>
    <cfRule type="cellIs" priority="350" operator="equal" aboveAverage="0" equalAverage="0" bottom="0" percent="0" rank="0" text="" dxfId="37">
      <formula>"At Risk"</formula>
    </cfRule>
    <cfRule type="cellIs" priority="351" operator="equal" aboveAverage="0" equalAverage="0" bottom="0" percent="0" rank="0" text="" dxfId="38">
      <formula>"Not Started"</formula>
    </cfRule>
    <cfRule type="cellIs" priority="352" operator="equal" aboveAverage="0" equalAverage="0" bottom="0" percent="0" rank="0" text="" dxfId="39">
      <formula>"No Update Received"</formula>
    </cfRule>
  </conditionalFormatting>
  <conditionalFormatting sqref="M305:M314">
    <cfRule type="containsText" priority="353" operator="containsText" aboveAverage="0" equalAverage="0" bottom="0" percent="0" rank="0" text="On Track" dxfId="26">
      <formula>NOT(ISERROR(SEARCH("On Track",M305)))</formula>
    </cfRule>
  </conditionalFormatting>
  <conditionalFormatting sqref="M310">
    <cfRule type="containsText" priority="354" operator="containsText" aboveAverage="0" equalAverage="0" bottom="0" percent="0" rank="0" text="At Risk" dxfId="24">
      <formula>NOT(ISERROR(SEARCH("At Risk",M310)))</formula>
    </cfRule>
    <cfRule type="containsText" priority="355" operator="containsText" aboveAverage="0" equalAverage="0" bottom="0" percent="0" rank="0" text="At Risk" dxfId="23">
      <formula>NOT(ISERROR(SEARCH("At Risk",M310)))</formula>
    </cfRule>
  </conditionalFormatting>
  <conditionalFormatting sqref="M310:M311">
    <cfRule type="containsText" priority="356" operator="containsText" aboveAverage="0" equalAverage="0" bottom="0" percent="0" rank="0" text="No Update Received" dxfId="22">
      <formula>NOT(ISERROR(SEARCH("No Update Received",M310)))</formula>
    </cfRule>
    <cfRule type="containsText" priority="357" operator="containsText" aboveAverage="0" equalAverage="0" bottom="0" percent="0" rank="0" text="At Risk" dxfId="24">
      <formula>NOT(ISERROR(SEARCH("At Risk",M310)))</formula>
    </cfRule>
  </conditionalFormatting>
  <conditionalFormatting sqref="M308:M311">
    <cfRule type="containsText" priority="358" operator="containsText" aboveAverage="0" equalAverage="0" bottom="0" percent="0" rank="0" text="At Risk" dxfId="24">
      <formula>NOT(ISERROR(SEARCH("At Risk",M308)))</formula>
    </cfRule>
  </conditionalFormatting>
  <conditionalFormatting sqref="M311">
    <cfRule type="containsText" priority="359" operator="containsText" aboveAverage="0" equalAverage="0" bottom="0" percent="0" rank="0" text="At Risk" dxfId="23">
      <formula>NOT(ISERROR(SEARCH("At Risk",M311)))</formula>
    </cfRule>
  </conditionalFormatting>
  <conditionalFormatting sqref="M308:M310">
    <cfRule type="containsText" priority="360" operator="containsText" aboveAverage="0" equalAverage="0" bottom="0" percent="0" rank="0" text="No Update Received" dxfId="22">
      <formula>NOT(ISERROR(SEARCH("No Update Received",M308)))</formula>
    </cfRule>
    <cfRule type="containsText" priority="361" operator="containsText" aboveAverage="0" equalAverage="0" bottom="0" percent="0" rank="0" text="At Risk" dxfId="23">
      <formula>NOT(ISERROR(SEARCH("At Risk",M308)))</formula>
    </cfRule>
  </conditionalFormatting>
  <conditionalFormatting sqref="M307:M310">
    <cfRule type="containsText" priority="362" operator="containsText" aboveAverage="0" equalAverage="0" bottom="0" percent="0" rank="0" text="At Risk" dxfId="24">
      <formula>NOT(ISERROR(SEARCH("At Risk",M307)))</formula>
    </cfRule>
  </conditionalFormatting>
  <conditionalFormatting sqref="M307">
    <cfRule type="containsText" priority="363" operator="containsText" aboveAverage="0" equalAverage="0" bottom="0" percent="0" rank="0" text="No Update Received" dxfId="22">
      <formula>NOT(ISERROR(SEARCH("No Update Received",M307)))</formula>
    </cfRule>
    <cfRule type="containsText" priority="364" operator="containsText" aboveAverage="0" equalAverage="0" bottom="0" percent="0" rank="0" text="At Risk" dxfId="23">
      <formula>NOT(ISERROR(SEARCH("At Risk",M307)))</formula>
    </cfRule>
  </conditionalFormatting>
  <conditionalFormatting sqref="M306:M307">
    <cfRule type="containsText" priority="365" operator="containsText" aboveAverage="0" equalAverage="0" bottom="0" percent="0" rank="0" text="At Risk" dxfId="24">
      <formula>NOT(ISERROR(SEARCH("At Risk",M306)))</formula>
    </cfRule>
  </conditionalFormatting>
  <conditionalFormatting sqref="M306">
    <cfRule type="containsText" priority="366" operator="containsText" aboveAverage="0" equalAverage="0" bottom="0" percent="0" rank="0" text="No Update Received" dxfId="22">
      <formula>NOT(ISERROR(SEARCH("No Update Received",M306)))</formula>
    </cfRule>
    <cfRule type="containsText" priority="367" operator="containsText" aboveAverage="0" equalAverage="0" bottom="0" percent="0" rank="0" text="At Risk" dxfId="23">
      <formula>NOT(ISERROR(SEARCH("At Risk",M306)))</formula>
    </cfRule>
  </conditionalFormatting>
  <conditionalFormatting sqref="M305:M306">
    <cfRule type="containsText" priority="368" operator="containsText" aboveAverage="0" equalAverage="0" bottom="0" percent="0" rank="0" text="At Risk" dxfId="24">
      <formula>NOT(ISERROR(SEARCH("At Risk",M305)))</formula>
    </cfRule>
  </conditionalFormatting>
  <conditionalFormatting sqref="M305">
    <cfRule type="containsText" priority="369" operator="containsText" aboveAverage="0" equalAverage="0" bottom="0" percent="0" rank="0" text="No Update Received" dxfId="22">
      <formula>NOT(ISERROR(SEARCH("No Update Received",M305)))</formula>
    </cfRule>
    <cfRule type="containsText" priority="370" operator="containsText" aboveAverage="0" equalAverage="0" bottom="0" percent="0" rank="0" text="At Risk" dxfId="24">
      <formula>NOT(ISERROR(SEARCH("At Risk",M305)))</formula>
    </cfRule>
    <cfRule type="containsText" priority="371" operator="containsText" aboveAverage="0" equalAverage="0" bottom="0" percent="0" rank="0" text="At Risk" dxfId="23">
      <formula>NOT(ISERROR(SEARCH("At Risk",M305)))</formula>
    </cfRule>
  </conditionalFormatting>
  <conditionalFormatting sqref="M289:M295">
    <cfRule type="containsText" priority="372" operator="containsText" aboveAverage="0" equalAverage="0" bottom="0" percent="0" rank="0" text="No Update Received" dxfId="22">
      <formula>NOT(ISERROR(SEARCH("No Update Received",M289)))</formula>
    </cfRule>
  </conditionalFormatting>
  <conditionalFormatting sqref="M289 M292:M295">
    <cfRule type="containsText" priority="373" operator="containsText" aboveAverage="0" equalAverage="0" bottom="0" percent="0" rank="0" text="At Risk" dxfId="23">
      <formula>NOT(ISERROR(SEARCH("At Risk",M289)))</formula>
    </cfRule>
  </conditionalFormatting>
  <conditionalFormatting sqref="M175">
    <cfRule type="containsText" priority="374" operator="containsText" aboveAverage="0" equalAverage="0" bottom="0" percent="0" rank="0" text="Complete" dxfId="25">
      <formula>NOT(ISERROR(SEARCH("Complete",M175)))</formula>
    </cfRule>
    <cfRule type="containsText" priority="375" operator="containsText" aboveAverage="0" equalAverage="0" bottom="0" percent="0" rank="0" text="On Track" dxfId="26">
      <formula>NOT(ISERROR(SEARCH("On Track",M175)))</formula>
    </cfRule>
    <cfRule type="containsText" priority="376" operator="containsText" aboveAverage="0" equalAverage="0" bottom="0" percent="0" rank="0" text="At Risk" dxfId="24">
      <formula>NOT(ISERROR(SEARCH("At Risk",M175)))</formula>
    </cfRule>
    <cfRule type="containsText" priority="377" operator="containsText" aboveAverage="0" equalAverage="0" bottom="0" percent="0" rank="0" text="No Update Received" dxfId="22">
      <formula>NOT(ISERROR(SEARCH("No Update Received",M175)))</formula>
    </cfRule>
    <cfRule type="containsText" priority="378" operator="containsText" aboveAverage="0" equalAverage="0" bottom="0" percent="0" rank="0" text="At Risk" dxfId="24">
      <formula>NOT(ISERROR(SEARCH("At Risk",M175)))</formula>
    </cfRule>
    <cfRule type="containsText" priority="379" operator="containsText" aboveAverage="0" equalAverage="0" bottom="0" percent="0" rank="0" text="At Risk" dxfId="23">
      <formula>NOT(ISERROR(SEARCH("At Risk",M175)))</formula>
    </cfRule>
    <cfRule type="containsText" priority="380" operator="containsText" aboveAverage="0" equalAverage="0" bottom="0" percent="0" rank="0" text="Not Started" dxfId="41">
      <formula>NOT(ISERROR(SEARCH("Not Started",M175)))</formula>
    </cfRule>
    <cfRule type="containsText" priority="381" operator="containsText" aboveAverage="0" equalAverage="0" bottom="0" percent="0" rank="0" text="On Track" dxfId="26">
      <formula>NOT(ISERROR(SEARCH("On Track",M175)))</formula>
    </cfRule>
    <cfRule type="containsText" priority="382" operator="containsText" aboveAverage="0" equalAverage="0" bottom="0" percent="0" rank="0" text="No Update Received" dxfId="22">
      <formula>NOT(ISERROR(SEARCH("No Update Received",M175)))</formula>
    </cfRule>
    <cfRule type="containsText" priority="383" operator="containsText" aboveAverage="0" equalAverage="0" bottom="0" percent="0" rank="0" text="At Risk" dxfId="23">
      <formula>NOT(ISERROR(SEARCH("At Risk",M175)))</formula>
    </cfRule>
    <cfRule type="cellIs" priority="384" operator="equal" aboveAverage="0" equalAverage="0" bottom="0" percent="0" rank="0" text="" dxfId="29">
      <formula>"Not Started"</formula>
    </cfRule>
    <cfRule type="containsText" priority="385" operator="containsText" aboveAverage="0" equalAverage="0" bottom="0" percent="0" rank="0" text="Date Changed" dxfId="30">
      <formula>NOT(ISERROR(SEARCH("Date Changed",M175)))</formula>
    </cfRule>
    <cfRule type="containsText" priority="386" operator="containsText" aboveAverage="0" equalAverage="0" bottom="0" percent="0" rank="0" text="At Risk" dxfId="31">
      <formula>NOT(ISERROR(SEARCH("At Risk",M175)))</formula>
    </cfRule>
    <cfRule type="containsText" priority="387" operator="containsText" aboveAverage="0" equalAverage="0" bottom="0" percent="0" rank="0" text="On Track" dxfId="32">
      <formula>NOT(ISERROR(SEARCH("On Track",M175)))</formula>
    </cfRule>
    <cfRule type="containsText" priority="388" operator="containsText" aboveAverage="0" equalAverage="0" bottom="0" percent="0" rank="0" text="Complete" dxfId="33">
      <formula>NOT(ISERROR(SEARCH("Complete",M175)))</formula>
    </cfRule>
    <cfRule type="containsText" priority="389" operator="containsText" aboveAverage="0" equalAverage="0" bottom="0" percent="0" rank="0" text="Delayed" dxfId="34">
      <formula>NOT(ISERROR(SEARCH("Delayed",M175)))</formula>
    </cfRule>
    <cfRule type="cellIs" priority="390" operator="equal" aboveAverage="0" equalAverage="0" bottom="0" percent="0" rank="0" text="" dxfId="35">
      <formula>"Complete"</formula>
    </cfRule>
    <cfRule type="cellIs" priority="391" operator="equal" aboveAverage="0" equalAverage="0" bottom="0" percent="0" rank="0" text="" dxfId="36">
      <formula>"On Track"</formula>
    </cfRule>
    <cfRule type="cellIs" priority="392" operator="equal" aboveAverage="0" equalAverage="0" bottom="0" percent="0" rank="0" text="" dxfId="37">
      <formula>"At Risk"</formula>
    </cfRule>
    <cfRule type="cellIs" priority="393" operator="equal" aboveAverage="0" equalAverage="0" bottom="0" percent="0" rank="0" text="" dxfId="38">
      <formula>"Not Started"</formula>
    </cfRule>
    <cfRule type="cellIs" priority="394" operator="equal" aboveAverage="0" equalAverage="0" bottom="0" percent="0" rank="0" text="" dxfId="39">
      <formula>"No Update Received"</formula>
    </cfRule>
  </conditionalFormatting>
  <conditionalFormatting sqref="M174:M175">
    <cfRule type="containsText" priority="395" operator="containsText" aboveAverage="0" equalAverage="0" bottom="0" percent="0" rank="0" text="Complete" dxfId="25">
      <formula>NOT(ISERROR(SEARCH("Complete",M174)))</formula>
    </cfRule>
  </conditionalFormatting>
  <conditionalFormatting sqref="M174">
    <cfRule type="containsText" priority="396" operator="containsText" aboveAverage="0" equalAverage="0" bottom="0" percent="0" rank="0" text="On Track" dxfId="26">
      <formula>NOT(ISERROR(SEARCH("On Track",M174)))</formula>
    </cfRule>
    <cfRule type="containsText" priority="397" operator="containsText" aboveAverage="0" equalAverage="0" bottom="0" percent="0" rank="0" text="At Risk" dxfId="24">
      <formula>NOT(ISERROR(SEARCH("At Risk",M174)))</formula>
    </cfRule>
    <cfRule type="containsText" priority="398" operator="containsText" aboveAverage="0" equalAverage="0" bottom="0" percent="0" rank="0" text="No Update Received" dxfId="22">
      <formula>NOT(ISERROR(SEARCH("No Update Received",M174)))</formula>
    </cfRule>
    <cfRule type="containsText" priority="399" operator="containsText" aboveAverage="0" equalAverage="0" bottom="0" percent="0" rank="0" text="At Risk" dxfId="24">
      <formula>NOT(ISERROR(SEARCH("At Risk",M174)))</formula>
    </cfRule>
    <cfRule type="containsText" priority="400" operator="containsText" aboveAverage="0" equalAverage="0" bottom="0" percent="0" rank="0" text="At Risk" dxfId="23">
      <formula>NOT(ISERROR(SEARCH("At Risk",M174)))</formula>
    </cfRule>
    <cfRule type="containsText" priority="401" operator="containsText" aboveAverage="0" equalAverage="0" bottom="0" percent="0" rank="0" text="Not Started" dxfId="41">
      <formula>NOT(ISERROR(SEARCH("Not Started",M174)))</formula>
    </cfRule>
    <cfRule type="containsText" priority="402" operator="containsText" aboveAverage="0" equalAverage="0" bottom="0" percent="0" rank="0" text="On Track" dxfId="26">
      <formula>NOT(ISERROR(SEARCH("On Track",M174)))</formula>
    </cfRule>
    <cfRule type="containsText" priority="403" operator="containsText" aboveAverage="0" equalAverage="0" bottom="0" percent="0" rank="0" text="No Update Received" dxfId="22">
      <formula>NOT(ISERROR(SEARCH("No Update Received",M174)))</formula>
    </cfRule>
    <cfRule type="containsText" priority="404" operator="containsText" aboveAverage="0" equalAverage="0" bottom="0" percent="0" rank="0" text="At Risk" dxfId="23">
      <formula>NOT(ISERROR(SEARCH("At Risk",M174)))</formula>
    </cfRule>
    <cfRule type="containsText" priority="405" operator="containsText" aboveAverage="0" equalAverage="0" bottom="0" percent="0" rank="0" text="Complete" dxfId="25">
      <formula>NOT(ISERROR(SEARCH("Complete",M174)))</formula>
    </cfRule>
    <cfRule type="cellIs" priority="406" operator="equal" aboveAverage="0" equalAverage="0" bottom="0" percent="0" rank="0" text="" dxfId="29">
      <formula>"Not Started"</formula>
    </cfRule>
    <cfRule type="containsText" priority="407" operator="containsText" aboveAverage="0" equalAverage="0" bottom="0" percent="0" rank="0" text="Date Changed" dxfId="30">
      <formula>NOT(ISERROR(SEARCH("Date Changed",M174)))</formula>
    </cfRule>
    <cfRule type="containsText" priority="408" operator="containsText" aboveAverage="0" equalAverage="0" bottom="0" percent="0" rank="0" text="At Risk" dxfId="31">
      <formula>NOT(ISERROR(SEARCH("At Risk",M174)))</formula>
    </cfRule>
    <cfRule type="containsText" priority="409" operator="containsText" aboveAverage="0" equalAverage="0" bottom="0" percent="0" rank="0" text="On Track" dxfId="32">
      <formula>NOT(ISERROR(SEARCH("On Track",M174)))</formula>
    </cfRule>
    <cfRule type="containsText" priority="410" operator="containsText" aboveAverage="0" equalAverage="0" bottom="0" percent="0" rank="0" text="Complete" dxfId="33">
      <formula>NOT(ISERROR(SEARCH("Complete",M174)))</formula>
    </cfRule>
    <cfRule type="containsText" priority="411" operator="containsText" aboveAverage="0" equalAverage="0" bottom="0" percent="0" rank="0" text="Delayed" dxfId="34">
      <formula>NOT(ISERROR(SEARCH("Delayed",M174)))</formula>
    </cfRule>
    <cfRule type="cellIs" priority="412" operator="equal" aboveAverage="0" equalAverage="0" bottom="0" percent="0" rank="0" text="" dxfId="35">
      <formula>"Complete"</formula>
    </cfRule>
    <cfRule type="cellIs" priority="413" operator="equal" aboveAverage="0" equalAverage="0" bottom="0" percent="0" rank="0" text="" dxfId="36">
      <formula>"On Track"</formula>
    </cfRule>
    <cfRule type="cellIs" priority="414" operator="equal" aboveAverage="0" equalAverage="0" bottom="0" percent="0" rank="0" text="" dxfId="37">
      <formula>"At Risk"</formula>
    </cfRule>
    <cfRule type="cellIs" priority="415" operator="equal" aboveAverage="0" equalAverage="0" bottom="0" percent="0" rank="0" text="" dxfId="38">
      <formula>"Not Started"</formula>
    </cfRule>
    <cfRule type="cellIs" priority="416" operator="equal" aboveAverage="0" equalAverage="0" bottom="0" percent="0" rank="0" text="" dxfId="39">
      <formula>"No Update Received"</formula>
    </cfRule>
  </conditionalFormatting>
  <conditionalFormatting sqref="M1:M6 M41:M56 M91:M107 M331:M335 M363:M393">
    <cfRule type="containsText" priority="417" operator="containsText" aboveAverage="0" equalAverage="0" bottom="0" percent="0" rank="0" text="Complete" dxfId="25">
      <formula>NOT(ISERROR(SEARCH("Complete",M1)))</formula>
    </cfRule>
  </conditionalFormatting>
  <conditionalFormatting sqref="M1:M6 M8:M39 M41:M56 M91:M107 M152:M329 M331:M335 M337:M361 M363:M1048576">
    <cfRule type="containsText" priority="418" operator="containsText" aboveAverage="0" equalAverage="0" bottom="0" percent="0" rank="0" text="On Track" dxfId="26">
      <formula>NOT(ISERROR(SEARCH("On Track",M1)))</formula>
    </cfRule>
    <cfRule type="containsText" priority="419" operator="containsText" aboveAverage="0" equalAverage="0" bottom="0" percent="0" rank="0" text="At Risk" dxfId="24">
      <formula>NOT(ISERROR(SEARCH("At Risk",M1)))</formula>
    </cfRule>
    <cfRule type="containsText" priority="420" operator="containsText" aboveAverage="0" equalAverage="0" bottom="0" percent="0" rank="0" text="No Update Received" dxfId="22">
      <formula>NOT(ISERROR(SEARCH("No Update Received",M1)))</formula>
    </cfRule>
    <cfRule type="containsText" priority="421" operator="containsText" aboveAverage="0" equalAverage="0" bottom="0" percent="0" rank="0" text="At Risk" dxfId="24">
      <formula>NOT(ISERROR(SEARCH("At Risk",M1)))</formula>
    </cfRule>
    <cfRule type="containsText" priority="422" operator="containsText" aboveAverage="0" equalAverage="0" bottom="0" percent="0" rank="0" text="At Risk" dxfId="23">
      <formula>NOT(ISERROR(SEARCH("At Risk",M1)))</formula>
    </cfRule>
  </conditionalFormatting>
  <conditionalFormatting sqref="N5:O5 N6">
    <cfRule type="containsText" priority="423" operator="containsText" aboveAverage="0" equalAverage="0" bottom="0" percent="0" rank="0" text="Not Started" dxfId="41">
      <formula>NOT(ISERROR(SEARCH("Not Started",N5)))</formula>
    </cfRule>
    <cfRule type="containsText" priority="424" operator="containsText" aboveAverage="0" equalAverage="0" bottom="0" percent="0" rank="0" text="On Track" dxfId="26">
      <formula>NOT(ISERROR(SEARCH("On Track",N5)))</formula>
    </cfRule>
    <cfRule type="containsText" priority="425" operator="containsText" aboveAverage="0" equalAverage="0" bottom="0" percent="0" rank="0" text="No Update Received" dxfId="22">
      <formula>NOT(ISERROR(SEARCH("No Update Received",N5)))</formula>
    </cfRule>
    <cfRule type="containsText" priority="426" operator="containsText" aboveAverage="0" equalAverage="0" bottom="0" percent="0" rank="0" text="At Risk" dxfId="23">
      <formula>NOT(ISERROR(SEARCH("At Risk",N5)))</formula>
    </cfRule>
    <cfRule type="containsText" priority="427" operator="containsText" aboveAverage="0" equalAverage="0" bottom="0" percent="0" rank="0" text="Complete" dxfId="25">
      <formula>NOT(ISERROR(SEARCH("Complete",N5)))</formula>
    </cfRule>
  </conditionalFormatting>
  <conditionalFormatting sqref="M394:M399">
    <cfRule type="cellIs" priority="428" operator="equal" aboveAverage="0" equalAverage="0" bottom="0" percent="0" rank="0" text="" dxfId="35">
      <formula>"Complete"</formula>
    </cfRule>
    <cfRule type="cellIs" priority="429" operator="equal" aboveAverage="0" equalAverage="0" bottom="0" percent="0" rank="0" text="" dxfId="36">
      <formula>"On Track"</formula>
    </cfRule>
    <cfRule type="cellIs" priority="430" operator="equal" aboveAverage="0" equalAverage="0" bottom="0" percent="0" rank="0" text="" dxfId="37">
      <formula>"At Risk"</formula>
    </cfRule>
    <cfRule type="cellIs" priority="431" operator="equal" aboveAverage="0" equalAverage="0" bottom="0" percent="0" rank="0" text="" dxfId="38">
      <formula>"Not Started"</formula>
    </cfRule>
    <cfRule type="cellIs" priority="432" operator="equal" aboveAverage="0" equalAverage="0" bottom="0" percent="0" rank="0" text="" dxfId="43">
      <formula>"No Update Received"</formula>
    </cfRule>
  </conditionalFormatting>
  <conditionalFormatting sqref="J1:J3 J209 J405:J1048576 M9:M39 M41:M56 M91:M107 M152:M327 M405:M416 M427:M435">
    <cfRule type="containsText" priority="433" operator="containsText" aboveAverage="0" equalAverage="0" bottom="0" percent="0" rank="0" text="Not Started" dxfId="41">
      <formula>NOT(ISERROR(SEARCH("Not Started",J1)))</formula>
    </cfRule>
    <cfRule type="containsText" priority="434" operator="containsText" aboveAverage="0" equalAverage="0" bottom="0" percent="0" rank="0" text="On Track" dxfId="26">
      <formula>NOT(ISERROR(SEARCH("On Track",J1)))</formula>
    </cfRule>
    <cfRule type="containsText" priority="435" operator="containsText" aboveAverage="0" equalAverage="0" bottom="0" percent="0" rank="0" text="No Update Received" dxfId="22">
      <formula>NOT(ISERROR(SEARCH("No Update Received",J1)))</formula>
    </cfRule>
    <cfRule type="containsText" priority="436" operator="containsText" aboveAverage="0" equalAverage="0" bottom="0" percent="0" rank="0" text="At Risk" dxfId="23">
      <formula>NOT(ISERROR(SEARCH("At Risk",J1)))</formula>
    </cfRule>
    <cfRule type="containsText" priority="437" operator="containsText" aboveAverage="0" equalAverage="0" bottom="0" percent="0" rank="0" text="Complete" dxfId="25">
      <formula>NOT(ISERROR(SEARCH("Complete",J1)))</formula>
    </cfRule>
  </conditionalFormatting>
  <conditionalFormatting sqref="M9:M39 M41:M56 M91:M107 M152:M327 M405:M416 M428">
    <cfRule type="cellIs" priority="438" operator="equal" aboveAverage="0" equalAverage="0" bottom="0" percent="0" rank="0" text="" dxfId="29">
      <formula>"Not Started"</formula>
    </cfRule>
    <cfRule type="containsText" priority="439" operator="containsText" aboveAverage="0" equalAverage="0" bottom="0" percent="0" rank="0" text="Date Changed" dxfId="30">
      <formula>NOT(ISERROR(SEARCH("Date Changed",M9)))</formula>
    </cfRule>
    <cfRule type="containsText" priority="440" operator="containsText" aboveAverage="0" equalAverage="0" bottom="0" percent="0" rank="0" text="At Risk" dxfId="31">
      <formula>NOT(ISERROR(SEARCH("At Risk",M9)))</formula>
    </cfRule>
    <cfRule type="containsText" priority="441" operator="containsText" aboveAverage="0" equalAverage="0" bottom="0" percent="0" rank="0" text="On Track" dxfId="32">
      <formula>NOT(ISERROR(SEARCH("On Track",M9)))</formula>
    </cfRule>
    <cfRule type="containsText" priority="442" operator="containsText" aboveAverage="0" equalAverage="0" bottom="0" percent="0" rank="0" text="Complete" dxfId="33">
      <formula>NOT(ISERROR(SEARCH("Complete",M9)))</formula>
    </cfRule>
    <cfRule type="containsText" priority="443" operator="containsText" aboveAverage="0" equalAverage="0" bottom="0" percent="0" rank="0" text="Delayed" dxfId="34">
      <formula>NOT(ISERROR(SEARCH("Delayed",M9)))</formula>
    </cfRule>
    <cfRule type="cellIs" priority="444" operator="equal" aboveAverage="0" equalAverage="0" bottom="0" percent="0" rank="0" text="" dxfId="35">
      <formula>"Complete"</formula>
    </cfRule>
    <cfRule type="cellIs" priority="445" operator="equal" aboveAverage="0" equalAverage="0" bottom="0" percent="0" rank="0" text="" dxfId="36">
      <formula>"On Track"</formula>
    </cfRule>
    <cfRule type="cellIs" priority="446" operator="equal" aboveAverage="0" equalAverage="0" bottom="0" percent="0" rank="0" text="" dxfId="37">
      <formula>"At Risk"</formula>
    </cfRule>
    <cfRule type="cellIs" priority="447" operator="equal" aboveAverage="0" equalAverage="0" bottom="0" percent="0" rank="0" text="" dxfId="38">
      <formula>"Not Started"</formula>
    </cfRule>
    <cfRule type="cellIs" priority="448" operator="equal" aboveAverage="0" equalAverage="0" bottom="0" percent="0" rank="0" text="" dxfId="39">
      <formula>"No Update Received"</formula>
    </cfRule>
  </conditionalFormatting>
  <dataValidations count="2">
    <dataValidation allowBlank="true" error="Enter a whole number between 0 and 100" errorStyle="stop" operator="between" showDropDown="false" showErrorMessage="false" showInputMessage="false" sqref="P392:P393" type="whole">
      <formula1>0</formula1>
      <formula2>100</formula2>
    </dataValidation>
    <dataValidation allowBlank="true" errorStyle="stop" operator="between" showDropDown="false" showErrorMessage="true" showInputMessage="true" sqref="M9:M1435" type="list">
      <formula1>$N$2:$N$6</formula1>
      <formula2>0</formula2>
    </dataValidation>
  </dataValidation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9" activeCellId="0" sqref="G19"/>
    </sheetView>
  </sheetViews>
  <sheetFormatPr defaultColWidth="11" defaultRowHeight="15.75" zeroHeight="false" outlineLevelRow="0" outlineLevelCol="0"/>
  <cols>
    <col collapsed="false" customWidth="true" hidden="false" outlineLevel="0" max="2" min="2" style="0" width="15.16"/>
  </cols>
  <sheetData>
    <row r="1" customFormat="false" ht="15.75" hidden="false" customHeight="false" outlineLevel="0" collapsed="false">
      <c r="A1" s="150"/>
      <c r="B1" s="151" t="s">
        <v>31</v>
      </c>
      <c r="E1" s="152"/>
      <c r="F1" s="151" t="s">
        <v>43</v>
      </c>
    </row>
    <row r="2" customFormat="false" ht="15.75" hidden="false" customHeight="false" outlineLevel="0" collapsed="false">
      <c r="A2" s="153"/>
      <c r="B2" s="151" t="s">
        <v>37</v>
      </c>
      <c r="E2" s="154"/>
      <c r="F2" s="151" t="s">
        <v>1315</v>
      </c>
    </row>
    <row r="3" customFormat="false" ht="15.75" hidden="false" customHeight="false" outlineLevel="0" collapsed="false">
      <c r="A3" s="155"/>
      <c r="B3" s="151" t="s">
        <v>41</v>
      </c>
      <c r="E3" s="156"/>
      <c r="F3" s="151" t="s">
        <v>1316</v>
      </c>
    </row>
    <row r="4" customFormat="false" ht="15.75" hidden="false" customHeight="false" outlineLevel="0" collapsed="false">
      <c r="A4" s="157"/>
      <c r="B4" s="151" t="s">
        <v>34</v>
      </c>
      <c r="E4" s="158"/>
      <c r="F4" s="151" t="s">
        <v>53</v>
      </c>
    </row>
    <row r="5" customFormat="false" ht="15.75" hidden="false" customHeight="false" outlineLevel="0" collapsed="false">
      <c r="A5" s="159"/>
      <c r="B5" s="151" t="s">
        <v>39</v>
      </c>
    </row>
  </sheetData>
  <conditionalFormatting sqref="F1:F4">
    <cfRule type="containsText" priority="2" operator="containsText" aboveAverage="0" equalAverage="0" bottom="0" percent="0" rank="0" text="At Risk" dxfId="24">
      <formula>NOT(ISERROR(SEARCH("At Risk",F1)))</formula>
    </cfRule>
    <cfRule type="containsText" priority="3" operator="containsText" aboveAverage="0" equalAverage="0" bottom="0" percent="0" rank="0" text="At Risk" dxfId="23">
      <formula>NOT(ISERROR(SEARCH("At Risk",F1)))</formula>
    </cfRule>
  </conditionalFormatting>
  <conditionalFormatting sqref="A4:A5">
    <cfRule type="containsText" priority="4" operator="containsText" aboveAverage="0" equalAverage="0" bottom="0" percent="0" rank="0" text="Not Started" dxfId="41">
      <formula>NOT(ISERROR(SEARCH("Not Started",A4)))</formula>
    </cfRule>
    <cfRule type="containsText" priority="5" operator="containsText" aboveAverage="0" equalAverage="0" bottom="0" percent="0" rank="0" text="On Track" dxfId="26">
      <formula>NOT(ISERROR(SEARCH("On Track",A4)))</formula>
    </cfRule>
    <cfRule type="containsText" priority="6" operator="containsText" aboveAverage="0" equalAverage="0" bottom="0" percent="0" rank="0" text="No Update Received" dxfId="22">
      <formula>NOT(ISERROR(SEARCH("No Update Received",A4)))</formula>
    </cfRule>
    <cfRule type="containsText" priority="7" operator="containsText" aboveAverage="0" equalAverage="0" bottom="0" percent="0" rank="0" text="At Risk" dxfId="23">
      <formula>NOT(ISERROR(SEARCH("At Risk",A4)))</formula>
    </cfRule>
    <cfRule type="containsText" priority="8" operator="containsText" aboveAverage="0" equalAverage="0" bottom="0" percent="0" rank="0" text="Complete" dxfId="25">
      <formula>NOT(ISERROR(SEARCH("Complete",A4)))</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U4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4921875" defaultRowHeight="15" zeroHeight="false" outlineLevelRow="1" outlineLevelCol="0"/>
  <cols>
    <col collapsed="false" customWidth="true" hidden="false" outlineLevel="0" max="1" min="1" style="0" width="12"/>
    <col collapsed="false" customWidth="true" hidden="false" outlineLevel="0" max="2" min="2" style="0" width="44"/>
    <col collapsed="false" customWidth="true" hidden="false" outlineLevel="0" max="3" min="3" style="0" width="24"/>
    <col collapsed="false" customWidth="true" hidden="false" outlineLevel="0" max="4" min="4" style="0" width="16"/>
    <col collapsed="false" customWidth="true" hidden="false" outlineLevel="0" max="6" min="5" style="0" width="11"/>
    <col collapsed="false" customWidth="true" hidden="false" outlineLevel="0" max="124" min="7" style="0" width="2.5"/>
    <col collapsed="false" customWidth="true" hidden="true" outlineLevel="0" max="125" min="125" style="0" width="10"/>
  </cols>
  <sheetData>
    <row r="1" customFormat="false" ht="24" hidden="false" customHeight="true" outlineLevel="0" collapsed="false">
      <c r="A1" s="160" t="s">
        <v>1317</v>
      </c>
      <c r="B1" s="160"/>
      <c r="C1" s="160"/>
      <c r="D1" s="160"/>
      <c r="E1" s="160"/>
      <c r="F1" s="160"/>
      <c r="G1" s="160"/>
      <c r="H1" s="160"/>
      <c r="I1" s="160"/>
      <c r="J1" s="160"/>
      <c r="K1" s="160"/>
      <c r="L1" s="160"/>
      <c r="M1" s="160"/>
      <c r="N1" s="160"/>
      <c r="O1" s="160"/>
      <c r="P1" s="160"/>
      <c r="Q1" s="160"/>
      <c r="R1" s="160"/>
      <c r="S1" s="160"/>
      <c r="T1" s="160"/>
      <c r="U1" s="160"/>
      <c r="V1" s="160"/>
      <c r="W1" s="160"/>
      <c r="X1" s="160"/>
      <c r="Y1" s="160"/>
      <c r="Z1" s="160"/>
      <c r="AA1" s="160"/>
      <c r="AB1" s="160"/>
      <c r="AC1" s="160"/>
      <c r="AD1" s="160"/>
      <c r="AE1" s="160"/>
      <c r="AF1" s="160"/>
      <c r="AG1" s="160"/>
      <c r="AH1" s="160"/>
      <c r="AI1" s="160"/>
      <c r="AJ1" s="160"/>
      <c r="AK1" s="160"/>
      <c r="AL1" s="160"/>
      <c r="AM1" s="160"/>
      <c r="AN1" s="160"/>
      <c r="AO1" s="160"/>
      <c r="AP1" s="160"/>
      <c r="AQ1" s="160"/>
      <c r="AR1" s="160"/>
      <c r="AS1" s="160"/>
      <c r="AT1" s="160"/>
      <c r="AU1" s="160"/>
      <c r="AV1" s="160"/>
      <c r="AW1" s="160"/>
      <c r="AX1" s="160"/>
      <c r="AY1" s="160"/>
      <c r="AZ1" s="160"/>
      <c r="BA1" s="160"/>
      <c r="BB1" s="160"/>
      <c r="BC1" s="160"/>
      <c r="BD1" s="160"/>
      <c r="BE1" s="160"/>
      <c r="BF1" s="160"/>
      <c r="BG1" s="160"/>
      <c r="BH1" s="160"/>
      <c r="BI1" s="160"/>
      <c r="BJ1" s="160"/>
      <c r="BK1" s="160"/>
      <c r="BL1" s="160"/>
      <c r="BM1" s="160"/>
      <c r="BN1" s="160"/>
      <c r="BO1" s="160"/>
      <c r="BP1" s="160"/>
      <c r="BQ1" s="160"/>
      <c r="BR1" s="160"/>
      <c r="BS1" s="160"/>
      <c r="BT1" s="160"/>
      <c r="BU1" s="160"/>
      <c r="BV1" s="160"/>
      <c r="BW1" s="160"/>
      <c r="BX1" s="160"/>
      <c r="BY1" s="160"/>
      <c r="BZ1" s="160"/>
      <c r="CA1" s="160"/>
      <c r="CB1" s="160"/>
      <c r="CC1" s="160"/>
      <c r="CD1" s="160"/>
      <c r="CE1" s="160"/>
      <c r="CF1" s="160"/>
      <c r="CG1" s="160"/>
      <c r="CH1" s="160"/>
      <c r="CI1" s="160"/>
      <c r="CJ1" s="160"/>
      <c r="CK1" s="160"/>
      <c r="CL1" s="160"/>
      <c r="CM1" s="160"/>
      <c r="CN1" s="160"/>
      <c r="CO1" s="160"/>
      <c r="CP1" s="160"/>
      <c r="CQ1" s="160"/>
      <c r="CR1" s="160"/>
      <c r="CS1" s="160"/>
      <c r="CT1" s="160"/>
      <c r="CU1" s="160"/>
      <c r="CV1" s="160"/>
      <c r="CW1" s="160"/>
      <c r="CX1" s="160"/>
      <c r="CY1" s="160"/>
      <c r="CZ1" s="160"/>
      <c r="DA1" s="160"/>
      <c r="DB1" s="160"/>
      <c r="DC1" s="160"/>
      <c r="DD1" s="160"/>
      <c r="DE1" s="160"/>
      <c r="DF1" s="160"/>
      <c r="DG1" s="160"/>
      <c r="DH1" s="160"/>
      <c r="DI1" s="160"/>
      <c r="DJ1" s="160"/>
      <c r="DK1" s="160"/>
      <c r="DL1" s="160"/>
      <c r="DM1" s="160"/>
      <c r="DN1" s="160"/>
      <c r="DO1" s="160"/>
      <c r="DP1" s="160"/>
      <c r="DQ1" s="160"/>
      <c r="DR1" s="160"/>
      <c r="DS1" s="160"/>
      <c r="DT1" s="160"/>
    </row>
    <row r="2" customFormat="false" ht="15.75" hidden="false" customHeight="true" outlineLevel="0" collapsed="false">
      <c r="A2" s="161" t="s">
        <v>1318</v>
      </c>
      <c r="B2" s="161"/>
      <c r="C2" s="161"/>
      <c r="D2" s="161"/>
      <c r="E2" s="161"/>
      <c r="F2" s="161"/>
      <c r="G2" s="162"/>
      <c r="H2" s="163" t="s">
        <v>1319</v>
      </c>
      <c r="I2" s="163"/>
      <c r="J2" s="163"/>
      <c r="L2" s="164"/>
      <c r="M2" s="163" t="s">
        <v>1320</v>
      </c>
      <c r="N2" s="163"/>
      <c r="O2" s="163"/>
      <c r="Q2" s="165"/>
      <c r="R2" s="163" t="s">
        <v>31</v>
      </c>
      <c r="S2" s="163"/>
      <c r="T2" s="163"/>
      <c r="V2" s="166"/>
      <c r="W2" s="163" t="s">
        <v>1321</v>
      </c>
      <c r="X2" s="163"/>
      <c r="Y2" s="163"/>
      <c r="AA2" s="167"/>
      <c r="AB2" s="163" t="s">
        <v>1322</v>
      </c>
      <c r="AC2" s="163"/>
      <c r="AD2" s="163"/>
    </row>
    <row r="3" customFormat="false" ht="6" hidden="false" customHeight="true" outlineLevel="0" collapsed="false"/>
    <row r="4" customFormat="false" ht="15.75" hidden="false" customHeight="true" outlineLevel="0" collapsed="false">
      <c r="A4" s="168"/>
      <c r="B4" s="168"/>
      <c r="C4" s="168"/>
      <c r="D4" s="168"/>
      <c r="E4" s="168"/>
      <c r="F4" s="168"/>
      <c r="G4" s="169" t="s">
        <v>1323</v>
      </c>
      <c r="H4" s="170" t="s">
        <v>1324</v>
      </c>
      <c r="I4" s="170"/>
      <c r="J4" s="170"/>
      <c r="K4" s="170"/>
      <c r="L4" s="170" t="s">
        <v>1325</v>
      </c>
      <c r="M4" s="170"/>
      <c r="N4" s="170"/>
      <c r="O4" s="170"/>
      <c r="P4" s="170" t="s">
        <v>1326</v>
      </c>
      <c r="Q4" s="170"/>
      <c r="R4" s="170"/>
      <c r="S4" s="170"/>
      <c r="T4" s="170"/>
      <c r="U4" s="170" t="s">
        <v>1327</v>
      </c>
      <c r="V4" s="170"/>
      <c r="W4" s="170"/>
      <c r="X4" s="170"/>
      <c r="Y4" s="170" t="s">
        <v>1328</v>
      </c>
      <c r="Z4" s="170"/>
      <c r="AA4" s="170"/>
      <c r="AB4" s="170"/>
      <c r="AC4" s="170" t="s">
        <v>1329</v>
      </c>
      <c r="AD4" s="170"/>
      <c r="AE4" s="170"/>
      <c r="AF4" s="170"/>
      <c r="AG4" s="170"/>
      <c r="AH4" s="170" t="s">
        <v>1330</v>
      </c>
      <c r="AI4" s="170"/>
      <c r="AJ4" s="170"/>
      <c r="AK4" s="170"/>
      <c r="AL4" s="170" t="s">
        <v>1331</v>
      </c>
      <c r="AM4" s="170"/>
      <c r="AN4" s="170"/>
      <c r="AO4" s="170"/>
      <c r="AP4" s="170" t="s">
        <v>1332</v>
      </c>
      <c r="AQ4" s="170"/>
      <c r="AR4" s="170"/>
      <c r="AS4" s="170"/>
      <c r="AT4" s="170"/>
      <c r="AU4" s="170" t="s">
        <v>1333</v>
      </c>
      <c r="AV4" s="170"/>
      <c r="AW4" s="170"/>
      <c r="AX4" s="170"/>
      <c r="AY4" s="170" t="s">
        <v>1334</v>
      </c>
      <c r="AZ4" s="170"/>
      <c r="BA4" s="170"/>
      <c r="BB4" s="170"/>
      <c r="BC4" s="170"/>
      <c r="BD4" s="170" t="s">
        <v>1335</v>
      </c>
      <c r="BE4" s="170"/>
      <c r="BF4" s="170"/>
      <c r="BG4" s="170"/>
      <c r="BH4" s="170" t="s">
        <v>1336</v>
      </c>
      <c r="BI4" s="170"/>
      <c r="BJ4" s="170"/>
      <c r="BK4" s="170"/>
      <c r="BL4" s="170" t="s">
        <v>1337</v>
      </c>
      <c r="BM4" s="170"/>
      <c r="BN4" s="170"/>
      <c r="BO4" s="170"/>
      <c r="BP4" s="170"/>
      <c r="BQ4" s="170" t="s">
        <v>1338</v>
      </c>
      <c r="BR4" s="170"/>
      <c r="BS4" s="170"/>
      <c r="BT4" s="170"/>
      <c r="BU4" s="170" t="s">
        <v>1339</v>
      </c>
      <c r="BV4" s="170"/>
      <c r="BW4" s="170"/>
      <c r="BX4" s="170"/>
      <c r="BY4" s="170" t="s">
        <v>1340</v>
      </c>
      <c r="BZ4" s="170"/>
      <c r="CA4" s="170"/>
      <c r="CB4" s="170"/>
      <c r="CC4" s="170" t="s">
        <v>1341</v>
      </c>
      <c r="CD4" s="170"/>
      <c r="CE4" s="170"/>
      <c r="CF4" s="170"/>
      <c r="CG4" s="170"/>
      <c r="CH4" s="170" t="s">
        <v>1342</v>
      </c>
      <c r="CI4" s="170"/>
      <c r="CJ4" s="170"/>
      <c r="CK4" s="170"/>
      <c r="CL4" s="170" t="s">
        <v>1343</v>
      </c>
      <c r="CM4" s="170"/>
      <c r="CN4" s="170"/>
      <c r="CO4" s="170"/>
      <c r="CP4" s="170"/>
      <c r="CQ4" s="170" t="s">
        <v>1344</v>
      </c>
      <c r="CR4" s="170"/>
      <c r="CS4" s="170"/>
      <c r="CT4" s="170"/>
      <c r="CU4" s="170" t="s">
        <v>1345</v>
      </c>
      <c r="CV4" s="170"/>
      <c r="CW4" s="170"/>
      <c r="CX4" s="170"/>
      <c r="CY4" s="170" t="s">
        <v>1346</v>
      </c>
      <c r="CZ4" s="170"/>
      <c r="DA4" s="170"/>
      <c r="DB4" s="170"/>
      <c r="DC4" s="170"/>
      <c r="DD4" s="170" t="s">
        <v>1347</v>
      </c>
      <c r="DE4" s="170"/>
      <c r="DF4" s="170"/>
      <c r="DG4" s="170"/>
      <c r="DH4" s="170" t="s">
        <v>1348</v>
      </c>
      <c r="DI4" s="170"/>
      <c r="DJ4" s="170"/>
      <c r="DK4" s="170"/>
      <c r="DL4" s="170" t="s">
        <v>1349</v>
      </c>
      <c r="DM4" s="170"/>
      <c r="DN4" s="170"/>
      <c r="DO4" s="170"/>
      <c r="DP4" s="170"/>
      <c r="DQ4" s="170" t="s">
        <v>1350</v>
      </c>
      <c r="DR4" s="170"/>
      <c r="DS4" s="170"/>
      <c r="DT4" s="170"/>
    </row>
    <row r="5" customFormat="false" ht="33.75" hidden="false" customHeight="true" outlineLevel="0" collapsed="false">
      <c r="A5" s="171" t="s">
        <v>62</v>
      </c>
      <c r="B5" s="171" t="s">
        <v>1351</v>
      </c>
      <c r="C5" s="171" t="s">
        <v>1352</v>
      </c>
      <c r="D5" s="171" t="s">
        <v>1353</v>
      </c>
      <c r="E5" s="171" t="s">
        <v>1354</v>
      </c>
      <c r="F5" s="171" t="s">
        <v>1355</v>
      </c>
      <c r="G5" s="172" t="n">
        <v>45929</v>
      </c>
      <c r="H5" s="172" t="n">
        <v>45936</v>
      </c>
      <c r="I5" s="172" t="n">
        <v>45943</v>
      </c>
      <c r="J5" s="172" t="n">
        <v>45950</v>
      </c>
      <c r="K5" s="172" t="n">
        <v>45957</v>
      </c>
      <c r="L5" s="172" t="n">
        <v>45964</v>
      </c>
      <c r="M5" s="172" t="n">
        <v>45971</v>
      </c>
      <c r="N5" s="172" t="n">
        <v>45978</v>
      </c>
      <c r="O5" s="172" t="n">
        <v>45985</v>
      </c>
      <c r="P5" s="172" t="n">
        <v>45992</v>
      </c>
      <c r="Q5" s="172" t="n">
        <v>45999</v>
      </c>
      <c r="R5" s="172" t="n">
        <v>46006</v>
      </c>
      <c r="S5" s="172" t="n">
        <v>46013</v>
      </c>
      <c r="T5" s="172" t="n">
        <v>46020</v>
      </c>
      <c r="U5" s="172" t="n">
        <v>46027</v>
      </c>
      <c r="V5" s="172" t="n">
        <v>46034</v>
      </c>
      <c r="W5" s="172" t="n">
        <v>46041</v>
      </c>
      <c r="X5" s="172" t="n">
        <v>46048</v>
      </c>
      <c r="Y5" s="172" t="n">
        <v>46055</v>
      </c>
      <c r="Z5" s="172" t="n">
        <v>46062</v>
      </c>
      <c r="AA5" s="172" t="n">
        <v>46069</v>
      </c>
      <c r="AB5" s="172" t="n">
        <v>46076</v>
      </c>
      <c r="AC5" s="172" t="n">
        <v>46083</v>
      </c>
      <c r="AD5" s="172" t="n">
        <v>46090</v>
      </c>
      <c r="AE5" s="172" t="n">
        <v>46097</v>
      </c>
      <c r="AF5" s="172" t="n">
        <v>46104</v>
      </c>
      <c r="AG5" s="172" t="n">
        <v>46111</v>
      </c>
      <c r="AH5" s="172" t="n">
        <v>46118</v>
      </c>
      <c r="AI5" s="172" t="n">
        <v>46125</v>
      </c>
      <c r="AJ5" s="172" t="n">
        <v>46132</v>
      </c>
      <c r="AK5" s="172" t="n">
        <v>46139</v>
      </c>
      <c r="AL5" s="172" t="n">
        <v>46146</v>
      </c>
      <c r="AM5" s="172" t="n">
        <v>46153</v>
      </c>
      <c r="AN5" s="172" t="n">
        <v>46160</v>
      </c>
      <c r="AO5" s="172" t="n">
        <v>46167</v>
      </c>
      <c r="AP5" s="172" t="n">
        <v>46174</v>
      </c>
      <c r="AQ5" s="172" t="n">
        <v>46181</v>
      </c>
      <c r="AR5" s="172" t="n">
        <v>46188</v>
      </c>
      <c r="AS5" s="172" t="n">
        <v>46195</v>
      </c>
      <c r="AT5" s="172" t="n">
        <v>46202</v>
      </c>
      <c r="AU5" s="172" t="n">
        <v>46209</v>
      </c>
      <c r="AV5" s="172" t="n">
        <v>46216</v>
      </c>
      <c r="AW5" s="172" t="n">
        <v>46223</v>
      </c>
      <c r="AX5" s="172" t="n">
        <v>46230</v>
      </c>
      <c r="AY5" s="172" t="n">
        <v>46237</v>
      </c>
      <c r="AZ5" s="173" t="n">
        <v>46244</v>
      </c>
      <c r="BA5" s="172" t="n">
        <v>46251</v>
      </c>
      <c r="BB5" s="172" t="n">
        <v>46258</v>
      </c>
      <c r="BC5" s="172" t="n">
        <v>46265</v>
      </c>
      <c r="BD5" s="172" t="n">
        <v>46272</v>
      </c>
      <c r="BE5" s="172" t="n">
        <v>46279</v>
      </c>
      <c r="BF5" s="172" t="n">
        <v>46286</v>
      </c>
      <c r="BG5" s="172" t="n">
        <v>46293</v>
      </c>
      <c r="BH5" s="172" t="n">
        <v>46300</v>
      </c>
      <c r="BI5" s="172" t="n">
        <v>46307</v>
      </c>
      <c r="BJ5" s="172" t="n">
        <v>46314</v>
      </c>
      <c r="BK5" s="172" t="n">
        <v>46321</v>
      </c>
      <c r="BL5" s="172" t="n">
        <v>46328</v>
      </c>
      <c r="BM5" s="172" t="n">
        <v>46335</v>
      </c>
      <c r="BN5" s="172" t="n">
        <v>46342</v>
      </c>
      <c r="BO5" s="172" t="n">
        <v>46349</v>
      </c>
      <c r="BP5" s="172" t="n">
        <v>46356</v>
      </c>
      <c r="BQ5" s="172" t="n">
        <v>46363</v>
      </c>
      <c r="BR5" s="172" t="n">
        <v>46370</v>
      </c>
      <c r="BS5" s="172" t="n">
        <v>46377</v>
      </c>
      <c r="BT5" s="172" t="n">
        <v>46384</v>
      </c>
      <c r="BU5" s="172" t="n">
        <v>46391</v>
      </c>
      <c r="BV5" s="172" t="n">
        <v>46398</v>
      </c>
      <c r="BW5" s="172" t="n">
        <v>46405</v>
      </c>
      <c r="BX5" s="172" t="n">
        <v>46412</v>
      </c>
      <c r="BY5" s="172" t="n">
        <v>46419</v>
      </c>
      <c r="BZ5" s="172" t="n">
        <v>46426</v>
      </c>
      <c r="CA5" s="172" t="n">
        <v>46433</v>
      </c>
      <c r="CB5" s="172" t="n">
        <v>46440</v>
      </c>
      <c r="CC5" s="172" t="n">
        <v>46447</v>
      </c>
      <c r="CD5" s="172" t="n">
        <v>46454</v>
      </c>
      <c r="CE5" s="172" t="n">
        <v>46461</v>
      </c>
      <c r="CF5" s="172" t="n">
        <v>46468</v>
      </c>
      <c r="CG5" s="172" t="n">
        <v>46475</v>
      </c>
      <c r="CH5" s="172" t="n">
        <v>46482</v>
      </c>
      <c r="CI5" s="172" t="n">
        <v>46489</v>
      </c>
      <c r="CJ5" s="172" t="n">
        <v>46496</v>
      </c>
      <c r="CK5" s="172" t="n">
        <v>46503</v>
      </c>
      <c r="CL5" s="172" t="n">
        <v>46510</v>
      </c>
      <c r="CM5" s="172" t="n">
        <v>46517</v>
      </c>
      <c r="CN5" s="172" t="n">
        <v>46524</v>
      </c>
      <c r="CO5" s="172" t="n">
        <v>46531</v>
      </c>
      <c r="CP5" s="172" t="n">
        <v>46538</v>
      </c>
      <c r="CQ5" s="172" t="n">
        <v>46545</v>
      </c>
      <c r="CR5" s="172" t="n">
        <v>46552</v>
      </c>
      <c r="CS5" s="172" t="n">
        <v>46559</v>
      </c>
      <c r="CT5" s="172" t="n">
        <v>46566</v>
      </c>
      <c r="CU5" s="172" t="n">
        <v>46573</v>
      </c>
      <c r="CV5" s="172" t="n">
        <v>46580</v>
      </c>
      <c r="CW5" s="172" t="n">
        <v>46587</v>
      </c>
      <c r="CX5" s="172" t="n">
        <v>46594</v>
      </c>
      <c r="CY5" s="172" t="n">
        <v>46601</v>
      </c>
      <c r="CZ5" s="172" t="n">
        <v>46608</v>
      </c>
      <c r="DA5" s="172" t="n">
        <v>46615</v>
      </c>
      <c r="DB5" s="172" t="n">
        <v>46622</v>
      </c>
      <c r="DC5" s="172" t="n">
        <v>46629</v>
      </c>
      <c r="DD5" s="172" t="n">
        <v>46636</v>
      </c>
      <c r="DE5" s="172" t="n">
        <v>46643</v>
      </c>
      <c r="DF5" s="172" t="n">
        <v>46650</v>
      </c>
      <c r="DG5" s="172" t="n">
        <v>46657</v>
      </c>
      <c r="DH5" s="172" t="n">
        <v>46664</v>
      </c>
      <c r="DI5" s="172" t="n">
        <v>46671</v>
      </c>
      <c r="DJ5" s="172" t="n">
        <v>46678</v>
      </c>
      <c r="DK5" s="172" t="n">
        <v>46685</v>
      </c>
      <c r="DL5" s="172" t="n">
        <v>46692</v>
      </c>
      <c r="DM5" s="172" t="n">
        <v>46699</v>
      </c>
      <c r="DN5" s="172" t="n">
        <v>46706</v>
      </c>
      <c r="DO5" s="172" t="n">
        <v>46713</v>
      </c>
      <c r="DP5" s="172" t="n">
        <v>46720</v>
      </c>
      <c r="DQ5" s="172" t="n">
        <v>46727</v>
      </c>
      <c r="DR5" s="172" t="n">
        <v>46734</v>
      </c>
      <c r="DS5" s="172" t="n">
        <v>46741</v>
      </c>
      <c r="DT5" s="172" t="n">
        <v>46748</v>
      </c>
      <c r="DU5" s="174" t="s">
        <v>1356</v>
      </c>
    </row>
    <row r="6" customFormat="false" ht="15.75" hidden="false" customHeight="true" outlineLevel="0" collapsed="false">
      <c r="A6" s="175"/>
      <c r="B6" s="176" t="s">
        <v>74</v>
      </c>
      <c r="C6" s="176" t="s">
        <v>74</v>
      </c>
      <c r="D6" s="175"/>
      <c r="E6" s="177" t="n">
        <f aca="false">IFERROR(_xlfn.MINIFS(E7:E25,E7:E25,"&gt;0"),0)</f>
        <v>46235</v>
      </c>
      <c r="F6" s="177" t="n">
        <f aca="false">IFERROR(_xlfn.MAXIFS(F7:F25,F7:F25,"&gt;0"),0)</f>
        <v>46399</v>
      </c>
      <c r="DU6" s="178" t="s">
        <v>1357</v>
      </c>
    </row>
    <row r="7" customFormat="false" ht="15" hidden="false" customHeight="false" outlineLevel="1" collapsed="false">
      <c r="A7" s="179" t="str">
        <f aca="false">Tracker!F9</f>
        <v>KM.100</v>
      </c>
      <c r="B7" s="179" t="str">
        <f aca="false">Tracker!G9</f>
        <v>Event - Time Accreditation System - Go-Live</v>
      </c>
      <c r="C7" s="179" t="str">
        <f aca="false">TRIM(Tracker!D9)</f>
        <v>Accreditation (ACR)</v>
      </c>
      <c r="D7" s="179" t="str">
        <f aca="false">IF(TRIM(Tracker!J9)="",Tracker!I9,Tracker!J9)</f>
        <v>Department Led</v>
      </c>
      <c r="E7" s="180" t="n">
        <f aca="false">IF(ISNUMBER(Tracker!K9),Tracker!K9,IF(ISNUMBER(Tracker!L9),Tracker!L9,0))</f>
        <v>46296</v>
      </c>
      <c r="F7" s="180" t="n">
        <f aca="false">IF(ISNUMBER(Tracker!L9),Tracker!L9,IF(ISNUMBER(Tracker!K9),Tracker!K9,0))</f>
        <v>46296</v>
      </c>
      <c r="DU7" s="0" t="str">
        <f aca="false">Tracker!M9</f>
        <v>At Risk</v>
      </c>
    </row>
    <row r="8" customFormat="false" ht="15" hidden="false" customHeight="false" outlineLevel="1" collapsed="false">
      <c r="A8" s="179" t="str">
        <f aca="false">Tracker!F10</f>
        <v>KM.110</v>
      </c>
      <c r="B8" s="179" t="str">
        <f aca="false">Tracker!G10</f>
        <v>Event Time Operations &amp; Programme Closure - Completed</v>
      </c>
      <c r="C8" s="179" t="str">
        <f aca="false">TRIM(Tracker!D10)</f>
        <v>Accreditation (ACR)</v>
      </c>
      <c r="D8" s="179" t="str">
        <f aca="false">IF(TRIM(Tracker!J10)="",Tracker!I10,Tracker!J10)</f>
        <v>Department Led</v>
      </c>
      <c r="E8" s="180" t="n">
        <f aca="false">IF(ISNUMBER(Tracker!K10),Tracker!K10,IF(ISNUMBER(Tracker!L10),Tracker!L10,0))</f>
        <v>46399</v>
      </c>
      <c r="F8" s="180" t="n">
        <f aca="false">IF(ISNUMBER(Tracker!L10),Tracker!L10,IF(ISNUMBER(Tracker!K10),Tracker!K10,0))</f>
        <v>46399</v>
      </c>
      <c r="DU8" s="0" t="str">
        <f aca="false">Tracker!M10</f>
        <v>On Track</v>
      </c>
    </row>
    <row r="9" customFormat="false" ht="15" hidden="false" customHeight="false" outlineLevel="1" collapsed="false">
      <c r="A9" s="179" t="str">
        <f aca="false">Tracker!F11</f>
        <v>KM.140</v>
      </c>
      <c r="B9" s="179" t="str">
        <f aca="false">Tracker!G11</f>
        <v>Accreditation Application Process Commence</v>
      </c>
      <c r="C9" s="179" t="str">
        <f aca="false">TRIM(Tracker!D11)</f>
        <v>Accreditation (ACR)</v>
      </c>
      <c r="D9" s="179" t="str">
        <f aca="false">IF(TRIM(Tracker!J11)="",Tracker!I11,Tracker!J11)</f>
        <v>Department Led</v>
      </c>
      <c r="E9" s="180" t="n">
        <f aca="false">IF(ISNUMBER(Tracker!K11),Tracker!K11,IF(ISNUMBER(Tracker!L11),Tracker!L11,0))</f>
        <v>46296</v>
      </c>
      <c r="F9" s="180" t="n">
        <f aca="false">IF(ISNUMBER(Tracker!L11),Tracker!L11,IF(ISNUMBER(Tracker!K11),Tracker!K11,0))</f>
        <v>46296</v>
      </c>
      <c r="DU9" s="0" t="str">
        <f aca="false">Tracker!M11</f>
        <v>On Track</v>
      </c>
    </row>
    <row r="10" customFormat="false" ht="15" hidden="false" customHeight="false" outlineLevel="1" collapsed="false">
      <c r="A10" s="179" t="str">
        <f aca="false">Tracker!F12</f>
        <v>KM.144</v>
      </c>
      <c r="B10" s="179" t="str">
        <f aca="false">Tracker!G12</f>
        <v>Accreditation Centre Fully Operational</v>
      </c>
      <c r="C10" s="179" t="str">
        <f aca="false">TRIM(Tracker!D12)</f>
        <v>Accreditation (ACR)</v>
      </c>
      <c r="D10" s="179" t="str">
        <f aca="false">IF(TRIM(Tracker!J12)="",Tracker!I12,Tracker!J12)</f>
        <v>Department Led</v>
      </c>
      <c r="E10" s="180" t="n">
        <f aca="false">IF(ISNUMBER(Tracker!K12),Tracker!K12,IF(ISNUMBER(Tracker!L12),Tracker!L12,0))</f>
        <v>46296</v>
      </c>
      <c r="F10" s="180" t="n">
        <f aca="false">IF(ISNUMBER(Tracker!L12),Tracker!L12,IF(ISNUMBER(Tracker!K12),Tracker!K12,0))</f>
        <v>46296</v>
      </c>
      <c r="DU10" s="0" t="str">
        <f aca="false">Tracker!M12</f>
        <v>On Track</v>
      </c>
    </row>
    <row r="11" customFormat="false" ht="15" hidden="false" customHeight="false" outlineLevel="1" collapsed="false">
      <c r="A11" s="179" t="str">
        <f aca="false">Tracker!F13</f>
        <v>NEW</v>
      </c>
      <c r="B11" s="179" t="str">
        <f aca="false">Tracker!G13</f>
        <v>Bump In passes Live</v>
      </c>
      <c r="C11" s="179" t="str">
        <f aca="false">TRIM(Tracker!D13)</f>
        <v>Accreditation (ACR)</v>
      </c>
      <c r="D11" s="179" t="str">
        <f aca="false">IF(TRIM(Tracker!J13)="",Tracker!I13,Tracker!J13)</f>
        <v>Department Led</v>
      </c>
      <c r="E11" s="180" t="n">
        <f aca="false">IF(ISNUMBER(Tracker!K13),Tracker!K13,IF(ISNUMBER(Tracker!L13),Tracker!L13,0))</f>
        <v>0</v>
      </c>
      <c r="F11" s="180" t="n">
        <f aca="false">IF(ISNUMBER(Tracker!L13),Tracker!L13,IF(ISNUMBER(Tracker!K13),Tracker!K13,0))</f>
        <v>0</v>
      </c>
      <c r="DU11" s="0" t="str">
        <f aca="false">Tracker!M13</f>
        <v>No Update Received</v>
      </c>
    </row>
    <row r="12" customFormat="false" ht="15" hidden="false" customHeight="false" outlineLevel="1" collapsed="false">
      <c r="A12" s="179" t="str">
        <f aca="false">Tracker!F14</f>
        <v>NEW</v>
      </c>
      <c r="B12" s="179" t="str">
        <f aca="false">Tracker!G14</f>
        <v>Event Time Accreditation Stands Up</v>
      </c>
      <c r="C12" s="179" t="str">
        <f aca="false">TRIM(Tracker!D14)</f>
        <v>Accreditation (ACR)</v>
      </c>
      <c r="D12" s="179" t="str">
        <f aca="false">IF(TRIM(Tracker!J14)="",Tracker!I14,Tracker!J14)</f>
        <v>Department Led</v>
      </c>
      <c r="E12" s="180" t="n">
        <f aca="false">IF(ISNUMBER(Tracker!K14),Tracker!K14,IF(ISNUMBER(Tracker!L14),Tracker!L14,0))</f>
        <v>0</v>
      </c>
      <c r="F12" s="180" t="n">
        <f aca="false">IF(ISNUMBER(Tracker!L14),Tracker!L14,IF(ISNUMBER(Tracker!K14),Tracker!K14,0))</f>
        <v>0</v>
      </c>
      <c r="DU12" s="0" t="str">
        <f aca="false">Tracker!M14</f>
        <v>No Update Received</v>
      </c>
    </row>
    <row r="13" customFormat="false" ht="15" hidden="false" customHeight="false" outlineLevel="1" collapsed="false">
      <c r="A13" s="179" t="str">
        <f aca="false">Tracker!F15</f>
        <v>NEW</v>
      </c>
      <c r="B13" s="179" t="str">
        <f aca="false">Tracker!G15</f>
        <v>Event Time Accrediation Stands Down </v>
      </c>
      <c r="C13" s="179" t="str">
        <f aca="false">TRIM(Tracker!D15)</f>
        <v>Accreditation (ACR)</v>
      </c>
      <c r="D13" s="179" t="str">
        <f aca="false">IF(TRIM(Tracker!J15)="",Tracker!I15,Tracker!J15)</f>
        <v>Department Led</v>
      </c>
      <c r="E13" s="180" t="n">
        <f aca="false">IF(ISNUMBER(Tracker!K15),Tracker!K15,IF(ISNUMBER(Tracker!L15),Tracker!L15,0))</f>
        <v>0</v>
      </c>
      <c r="F13" s="180" t="n">
        <f aca="false">IF(ISNUMBER(Tracker!L15),Tracker!L15,IF(ISNUMBER(Tracker!K15),Tracker!K15,0))</f>
        <v>0</v>
      </c>
      <c r="DU13" s="0" t="str">
        <f aca="false">Tracker!M15</f>
        <v>No Update Received</v>
      </c>
    </row>
    <row r="14" customFormat="false" ht="15" hidden="false" customHeight="false" outlineLevel="1" collapsed="false">
      <c r="A14" s="179" t="str">
        <f aca="false">Tracker!F16</f>
        <v>NEW</v>
      </c>
      <c r="B14" s="179" t="str">
        <f aca="false">Tracker!G16</f>
        <v>Bump Out Passes Live</v>
      </c>
      <c r="C14" s="179" t="str">
        <f aca="false">TRIM(Tracker!D16)</f>
        <v>Accreditation (ACR)</v>
      </c>
      <c r="D14" s="179" t="n">
        <f aca="false">IF(TRIM(Tracker!J16)="",Tracker!I16,Tracker!J16)</f>
        <v>0</v>
      </c>
      <c r="E14" s="180" t="n">
        <f aca="false">IF(ISNUMBER(Tracker!K16),Tracker!K16,IF(ISNUMBER(Tracker!L16),Tracker!L16,0))</f>
        <v>0</v>
      </c>
      <c r="F14" s="180" t="n">
        <f aca="false">IF(ISNUMBER(Tracker!L16),Tracker!L16,IF(ISNUMBER(Tracker!K16),Tracker!K16,0))</f>
        <v>0</v>
      </c>
      <c r="DU14" s="0" t="str">
        <f aca="false">Tracker!M16</f>
        <v>No Update Received</v>
      </c>
    </row>
    <row r="15" customFormat="false" ht="15" hidden="false" customHeight="false" outlineLevel="1" collapsed="false">
      <c r="A15" s="179" t="str">
        <f aca="false">Tracker!F17</f>
        <v>NEW</v>
      </c>
      <c r="B15" s="179" t="str">
        <f aca="false">Tracker!G17</f>
        <v>Zoning Plan &amp; Privilege Matrix Approved</v>
      </c>
      <c r="C15" s="179" t="str">
        <f aca="false">TRIM(Tracker!D17)</f>
        <v>Accreditation (ACR)</v>
      </c>
      <c r="D15" s="179" t="str">
        <f aca="false">IF(TRIM(Tracker!J17)="",Tracker!I17,Tracker!J17)</f>
        <v>Department Led</v>
      </c>
      <c r="E15" s="180" t="n">
        <f aca="false">IF(ISNUMBER(Tracker!K17),Tracker!K17,IF(ISNUMBER(Tracker!L17),Tracker!L17,0))</f>
        <v>46266</v>
      </c>
      <c r="F15" s="180" t="n">
        <f aca="false">IF(ISNUMBER(Tracker!L17),Tracker!L17,IF(ISNUMBER(Tracker!K17),Tracker!K17,0))</f>
        <v>46266</v>
      </c>
      <c r="DU15" s="0" t="str">
        <f aca="false">Tracker!M17</f>
        <v>Not Started</v>
      </c>
    </row>
    <row r="16" customFormat="false" ht="15" hidden="false" customHeight="false" outlineLevel="1" collapsed="false">
      <c r="A16" s="179" t="str">
        <f aca="false">Tracker!F18</f>
        <v>NEW</v>
      </c>
      <c r="B16" s="179" t="str">
        <f aca="false">Tracker!G18</f>
        <v>Accreditation System &amp; Printers Procured</v>
      </c>
      <c r="C16" s="179" t="str">
        <f aca="false">TRIM(Tracker!D18)</f>
        <v>Accreditation (ACR)</v>
      </c>
      <c r="D16" s="179" t="str">
        <f aca="false">IF(TRIM(Tracker!J18)="",Tracker!I18,Tracker!J18)</f>
        <v>Department Led</v>
      </c>
      <c r="E16" s="180" t="n">
        <f aca="false">IF(ISNUMBER(Tracker!K18),Tracker!K18,IF(ISNUMBER(Tracker!L18),Tracker!L18,0))</f>
        <v>46249</v>
      </c>
      <c r="F16" s="180" t="n">
        <f aca="false">IF(ISNUMBER(Tracker!L18),Tracker!L18,IF(ISNUMBER(Tracker!K18),Tracker!K18,0))</f>
        <v>46249</v>
      </c>
      <c r="DU16" s="0" t="str">
        <f aca="false">Tracker!M18</f>
        <v>Not Started</v>
      </c>
    </row>
    <row r="17" customFormat="false" ht="15" hidden="false" customHeight="false" outlineLevel="1" collapsed="false">
      <c r="A17" s="179" t="str">
        <f aca="false">Tracker!F19</f>
        <v>NEW</v>
      </c>
      <c r="B17" s="179" t="str">
        <f aca="false">Tracker!G19</f>
        <v>Accreditation Categories &amp; Types Confirmed</v>
      </c>
      <c r="C17" s="179" t="str">
        <f aca="false">TRIM(Tracker!D19)</f>
        <v>Accreditation (ACR)</v>
      </c>
      <c r="D17" s="179" t="str">
        <f aca="false">IF(TRIM(Tracker!J19)="",Tracker!I19,Tracker!J19)</f>
        <v>Department Led</v>
      </c>
      <c r="E17" s="180" t="n">
        <f aca="false">IF(ISNUMBER(Tracker!K19),Tracker!K19,IF(ISNUMBER(Tracker!L19),Tracker!L19,0))</f>
        <v>46235</v>
      </c>
      <c r="F17" s="180" t="n">
        <f aca="false">IF(ISNUMBER(Tracker!L19),Tracker!L19,IF(ISNUMBER(Tracker!K19),Tracker!K19,0))</f>
        <v>46235</v>
      </c>
      <c r="DU17" s="0" t="str">
        <f aca="false">Tracker!M19</f>
        <v>Not Started</v>
      </c>
    </row>
    <row r="18" customFormat="false" ht="15" hidden="false" customHeight="false" outlineLevel="1" collapsed="false">
      <c r="A18" s="179" t="str">
        <f aca="false">Tracker!F20</f>
        <v>CM.ACR.01</v>
      </c>
      <c r="B18" s="179" t="str">
        <f aca="false">Tracker!G20</f>
        <v>Support with the establishment of the Accreditation Governance Framework</v>
      </c>
      <c r="C18" s="179" t="str">
        <f aca="false">TRIM(Tracker!D20)</f>
        <v>Accreditation (ACR)</v>
      </c>
      <c r="D18" s="179" t="str">
        <f aca="false">IF(TRIM(Tracker!J20)="",Tracker!I20,Tracker!J20)</f>
        <v>SME-Led (S21)</v>
      </c>
      <c r="E18" s="180" t="n">
        <f aca="false">IF(ISNUMBER(Tracker!K20),Tracker!K20,IF(ISNUMBER(Tracker!L20),Tracker!L20,0))</f>
        <v>0</v>
      </c>
      <c r="F18" s="180" t="n">
        <f aca="false">IF(ISNUMBER(Tracker!L20),Tracker!L20,IF(ISNUMBER(Tracker!K20),Tracker!K20,0))</f>
        <v>0</v>
      </c>
      <c r="DU18" s="0" t="str">
        <f aca="false">Tracker!M20</f>
        <v>TBC if this is applicable </v>
      </c>
    </row>
    <row r="19" customFormat="false" ht="15" hidden="false" customHeight="false" outlineLevel="1" collapsed="false">
      <c r="A19" s="179" t="str">
        <f aca="false">Tracker!F21</f>
        <v>CM.ACR.02</v>
      </c>
      <c r="B19" s="179" t="str">
        <f aca="false">Tracker!G21</f>
        <v> Accreditation Programme Review &amp; Readiness Assessment</v>
      </c>
      <c r="C19" s="179" t="str">
        <f aca="false">TRIM(Tracker!D21)</f>
        <v>Accreditation (ACR)</v>
      </c>
      <c r="D19" s="179" t="str">
        <f aca="false">IF(TRIM(Tracker!J21)="",Tracker!I21,Tracker!J21)</f>
        <v>SME-Led (S21)</v>
      </c>
      <c r="E19" s="180" t="n">
        <f aca="false">IF(ISNUMBER(Tracker!K21),Tracker!K21,IF(ISNUMBER(Tracker!L21),Tracker!L21,0))</f>
        <v>0</v>
      </c>
      <c r="F19" s="180" t="n">
        <f aca="false">IF(ISNUMBER(Tracker!L21),Tracker!L21,IF(ISNUMBER(Tracker!K21),Tracker!K21,0))</f>
        <v>0</v>
      </c>
      <c r="DU19" s="0" t="str">
        <f aca="false">Tracker!M21</f>
        <v>TBC if this is applicable </v>
      </c>
    </row>
    <row r="20" customFormat="false" ht="15" hidden="false" customHeight="false" outlineLevel="1" collapsed="false">
      <c r="A20" s="179" t="str">
        <f aca="false">Tracker!F22</f>
        <v>CM.ACR.03</v>
      </c>
      <c r="B20" s="179" t="str">
        <f aca="false">Tracker!G22</f>
        <v> Accreditation Access Management Framework</v>
      </c>
      <c r="C20" s="179" t="str">
        <f aca="false">TRIM(Tracker!D22)</f>
        <v>Accreditation (ACR)</v>
      </c>
      <c r="D20" s="179" t="str">
        <f aca="false">IF(TRIM(Tracker!J22)="",Tracker!I22,Tracker!J22)</f>
        <v>SME-Led (S21)</v>
      </c>
      <c r="E20" s="180" t="n">
        <f aca="false">IF(ISNUMBER(Tracker!K22),Tracker!K22,IF(ISNUMBER(Tracker!L22),Tracker!L22,0))</f>
        <v>0</v>
      </c>
      <c r="F20" s="180" t="n">
        <f aca="false">IF(ISNUMBER(Tracker!L22),Tracker!L22,IF(ISNUMBER(Tracker!K22),Tracker!K22,0))</f>
        <v>0</v>
      </c>
      <c r="DU20" s="0" t="str">
        <f aca="false">Tracker!M22</f>
        <v>TBC if this is applicable </v>
      </c>
    </row>
    <row r="21" customFormat="false" ht="15" hidden="false" customHeight="false" outlineLevel="1" collapsed="false">
      <c r="A21" s="179" t="str">
        <f aca="false">Tracker!F23</f>
        <v>CM.ACR.04</v>
      </c>
      <c r="B21" s="179" t="str">
        <f aca="false">Tracker!G23</f>
        <v> Accreditation System Implementation &amp; Readiness</v>
      </c>
      <c r="C21" s="179" t="str">
        <f aca="false">TRIM(Tracker!D23)</f>
        <v>Accreditation (ACR)</v>
      </c>
      <c r="D21" s="179" t="str">
        <f aca="false">IF(TRIM(Tracker!J23)="",Tracker!I23,Tracker!J23)</f>
        <v>SME-Led (S21)</v>
      </c>
      <c r="E21" s="180" t="n">
        <f aca="false">IF(ISNUMBER(Tracker!K23),Tracker!K23,IF(ISNUMBER(Tracker!L23),Tracker!L23,0))</f>
        <v>0</v>
      </c>
      <c r="F21" s="180" t="n">
        <f aca="false">IF(ISNUMBER(Tracker!L23),Tracker!L23,IF(ISNUMBER(Tracker!K23),Tracker!K23,0))</f>
        <v>0</v>
      </c>
      <c r="DU21" s="0" t="str">
        <f aca="false">Tracker!M23</f>
        <v>TBC if this is applicable </v>
      </c>
    </row>
    <row r="22" customFormat="false" ht="15" hidden="false" customHeight="false" outlineLevel="1" collapsed="false">
      <c r="A22" s="179" t="str">
        <f aca="false">Tracker!F24</f>
        <v>CM.ACR.05</v>
      </c>
      <c r="B22" s="179" t="str">
        <f aca="false">Tracker!G24</f>
        <v>Accreditation Compliance &amp; Data Management Processes</v>
      </c>
      <c r="C22" s="179" t="str">
        <f aca="false">TRIM(Tracker!D24)</f>
        <v>Accreditation (ACR)</v>
      </c>
      <c r="D22" s="179" t="str">
        <f aca="false">IF(TRIM(Tracker!J24)="",Tracker!I24,Tracker!J24)</f>
        <v>SME-Led (S21)</v>
      </c>
      <c r="E22" s="180" t="n">
        <f aca="false">IF(ISNUMBER(Tracker!K24),Tracker!K24,IF(ISNUMBER(Tracker!L24),Tracker!L24,0))</f>
        <v>0</v>
      </c>
      <c r="F22" s="180" t="n">
        <f aca="false">IF(ISNUMBER(Tracker!L24),Tracker!L24,IF(ISNUMBER(Tracker!K24),Tracker!K24,0))</f>
        <v>0</v>
      </c>
      <c r="DU22" s="0" t="str">
        <f aca="false">Tracker!M24</f>
        <v>TBC if this is applicable </v>
      </c>
    </row>
    <row r="23" customFormat="false" ht="15" hidden="false" customHeight="false" outlineLevel="1" collapsed="false">
      <c r="A23" s="179" t="str">
        <f aca="false">Tracker!F25</f>
        <v>CM.ACR.06</v>
      </c>
      <c r="B23" s="179" t="str">
        <f aca="false">Tracker!G25</f>
        <v>Accreditation Operational Planning</v>
      </c>
      <c r="C23" s="179" t="str">
        <f aca="false">TRIM(Tracker!D25)</f>
        <v>Accreditation (ACR)</v>
      </c>
      <c r="D23" s="179" t="str">
        <f aca="false">IF(TRIM(Tracker!J25)="",Tracker!I25,Tracker!J25)</f>
        <v>SME-Led (S21)</v>
      </c>
      <c r="E23" s="180" t="n">
        <f aca="false">IF(ISNUMBER(Tracker!K25),Tracker!K25,IF(ISNUMBER(Tracker!L25),Tracker!L25,0))</f>
        <v>0</v>
      </c>
      <c r="F23" s="180" t="n">
        <f aca="false">IF(ISNUMBER(Tracker!L25),Tracker!L25,IF(ISNUMBER(Tracker!K25),Tracker!K25,0))</f>
        <v>0</v>
      </c>
      <c r="DU23" s="0" t="str">
        <f aca="false">Tracker!M25</f>
        <v>TBC if this is applicable </v>
      </c>
    </row>
    <row r="24" customFormat="false" ht="15" hidden="false" customHeight="false" outlineLevel="1" collapsed="false">
      <c r="A24" s="179" t="str">
        <f aca="false">Tracker!F26</f>
        <v>CM.ACR.07</v>
      </c>
      <c r="B24" s="179" t="str">
        <f aca="false">Tracker!G26</f>
        <v>Accreditation Operational Readiness Reviews</v>
      </c>
      <c r="C24" s="179" t="str">
        <f aca="false">TRIM(Tracker!D26)</f>
        <v>Accreditation (ACR)</v>
      </c>
      <c r="D24" s="179" t="str">
        <f aca="false">IF(TRIM(Tracker!J26)="",Tracker!I26,Tracker!J26)</f>
        <v>SME-Led (S21)</v>
      </c>
      <c r="E24" s="180" t="n">
        <f aca="false">IF(ISNUMBER(Tracker!K26),Tracker!K26,IF(ISNUMBER(Tracker!L26),Tracker!L26,0))</f>
        <v>0</v>
      </c>
      <c r="F24" s="180" t="n">
        <f aca="false">IF(ISNUMBER(Tracker!L26),Tracker!L26,IF(ISNUMBER(Tracker!K26),Tracker!K26,0))</f>
        <v>0</v>
      </c>
      <c r="DU24" s="0" t="str">
        <f aca="false">Tracker!M26</f>
        <v>TBC if this is applicable </v>
      </c>
    </row>
    <row r="25" customFormat="false" ht="15" hidden="false" customHeight="false" outlineLevel="1" collapsed="false">
      <c r="A25" s="179" t="str">
        <f aca="false">Tracker!F27</f>
        <v>CM.ACR.08</v>
      </c>
      <c r="B25" s="179" t="str">
        <f aca="false">Tracker!G27</f>
        <v>Bump-In/Bump-Out Strategy</v>
      </c>
      <c r="C25" s="179" t="str">
        <f aca="false">TRIM(Tracker!D27)</f>
        <v>Accreditation (ACR)</v>
      </c>
      <c r="D25" s="179" t="str">
        <f aca="false">IF(TRIM(Tracker!J27)="",Tracker!I27,Tracker!J27)</f>
        <v>SME-Led (S21)</v>
      </c>
      <c r="E25" s="180" t="n">
        <f aca="false">IF(ISNUMBER(Tracker!K27),Tracker!K27,IF(ISNUMBER(Tracker!L27),Tracker!L27,0))</f>
        <v>0</v>
      </c>
      <c r="F25" s="180" t="n">
        <f aca="false">IF(ISNUMBER(Tracker!L27),Tracker!L27,IF(ISNUMBER(Tracker!K27),Tracker!K27,0))</f>
        <v>0</v>
      </c>
      <c r="DU25" s="0" t="str">
        <f aca="false">Tracker!M27</f>
        <v>TBC if this is applicable </v>
      </c>
    </row>
    <row r="26" customFormat="false" ht="15.75" hidden="false" customHeight="true" outlineLevel="0" collapsed="false">
      <c r="A26" s="175"/>
      <c r="B26" s="176" t="s">
        <v>124</v>
      </c>
      <c r="C26" s="176" t="s">
        <v>124</v>
      </c>
      <c r="D26" s="175"/>
      <c r="E26" s="177" t="n">
        <f aca="false">IFERROR(_xlfn.MINIFS(E27:E150,E27:E150,"&gt;0"),0)</f>
        <v>46209</v>
      </c>
      <c r="F26" s="177" t="n">
        <f aca="false">IFERROR(_xlfn.MAXIFS(F27:F150,F27:F150,"&gt;0"),0)</f>
        <v>46508</v>
      </c>
      <c r="DU26" s="178" t="s">
        <v>1357</v>
      </c>
    </row>
    <row r="27" customFormat="false" ht="15" hidden="false" customHeight="false" outlineLevel="1" collapsed="false">
      <c r="A27" s="179" t="str">
        <f aca="false">Tracker!F28</f>
        <v>NEW</v>
      </c>
      <c r="B27" s="179" t="str">
        <f aca="false">Tracker!G28</f>
        <v>MOC Space Allocation Finalised </v>
      </c>
      <c r="C27" s="179" t="str">
        <f aca="false">TRIM(Tracker!D28)</f>
        <v>C4i</v>
      </c>
      <c r="D27" s="179" t="str">
        <f aca="false">IF(TRIM(Tracker!J28)="",Tracker!I28,Tracker!J28)</f>
        <v>Department Led</v>
      </c>
      <c r="E27" s="180" t="n">
        <f aca="false">IF(ISNUMBER(Tracker!K28),Tracker!K28,IF(ISNUMBER(Tracker!L28),Tracker!L28,0))</f>
        <v>0</v>
      </c>
      <c r="F27" s="180" t="n">
        <f aca="false">IF(ISNUMBER(Tracker!L28),Tracker!L28,IF(ISNUMBER(Tracker!K28),Tracker!K28,0))</f>
        <v>0</v>
      </c>
      <c r="DU27" s="0" t="str">
        <f aca="false">Tracker!M28</f>
        <v>No Update Received</v>
      </c>
    </row>
    <row r="28" customFormat="false" ht="15" hidden="false" customHeight="false" outlineLevel="1" collapsed="false">
      <c r="A28" s="179" t="str">
        <f aca="false">Tracker!F29</f>
        <v>NEW</v>
      </c>
      <c r="B28" s="179" t="str">
        <f aca="false">Tracker!G29</f>
        <v>Incident Logging &amp; Reporting Live</v>
      </c>
      <c r="C28" s="179" t="str">
        <f aca="false">TRIM(Tracker!D29)</f>
        <v>C4i</v>
      </c>
      <c r="D28" s="179" t="str">
        <f aca="false">IF(TRIM(Tracker!J29)="",Tracker!I29,Tracker!J29)</f>
        <v>Department Led</v>
      </c>
      <c r="E28" s="180" t="n">
        <f aca="false">IF(ISNUMBER(Tracker!K29),Tracker!K29,IF(ISNUMBER(Tracker!L29),Tracker!L29,0))</f>
        <v>0</v>
      </c>
      <c r="F28" s="180" t="n">
        <f aca="false">IF(ISNUMBER(Tracker!L29),Tracker!L29,IF(ISNUMBER(Tracker!K29),Tracker!K29,0))</f>
        <v>0</v>
      </c>
      <c r="DU28" s="0" t="str">
        <f aca="false">Tracker!M29</f>
        <v>No Update Received</v>
      </c>
    </row>
    <row r="29" customFormat="false" ht="15" hidden="false" customHeight="false" outlineLevel="1" collapsed="false">
      <c r="A29" s="179" t="str">
        <f aca="false">Tracker!F30</f>
        <v>NEW</v>
      </c>
      <c r="B29" s="179" t="str">
        <f aca="false">Tracker!G30</f>
        <v>MOC Stands Up</v>
      </c>
      <c r="C29" s="179" t="str">
        <f aca="false">TRIM(Tracker!D30)</f>
        <v>C4i</v>
      </c>
      <c r="D29" s="179" t="str">
        <f aca="false">IF(TRIM(Tracker!J30)="",Tracker!I30,Tracker!J30)</f>
        <v>Department Led</v>
      </c>
      <c r="E29" s="181" t="n">
        <f aca="false">IF(ISNUMBER(Tracker!K30),Tracker!K30,IF(ISNUMBER(Tracker!L30),Tracker!L30,0))</f>
        <v>0</v>
      </c>
      <c r="F29" s="181" t="n">
        <f aca="false">IF(ISNUMBER(Tracker!L30),Tracker!L30,IF(ISNUMBER(Tracker!K30),Tracker!K30,0))</f>
        <v>0</v>
      </c>
      <c r="DU29" s="0" t="str">
        <f aca="false">Tracker!M30</f>
        <v>No Update Received</v>
      </c>
    </row>
    <row r="30" customFormat="false" ht="15" hidden="false" customHeight="false" outlineLevel="1" collapsed="false">
      <c r="A30" s="179" t="str">
        <f aca="false">Tracker!F31</f>
        <v>NEW</v>
      </c>
      <c r="B30" s="179" t="str">
        <f aca="false">Tracker!G31</f>
        <v>MOC Stands Down </v>
      </c>
      <c r="C30" s="179" t="str">
        <f aca="false">TRIM(Tracker!D31)</f>
        <v>C4i</v>
      </c>
      <c r="D30" s="179" t="str">
        <f aca="false">IF(TRIM(Tracker!J31)="",Tracker!I31,Tracker!J31)</f>
        <v>Department Led</v>
      </c>
      <c r="E30" s="180" t="n">
        <f aca="false">IF(ISNUMBER(Tracker!K31),Tracker!K31,IF(ISNUMBER(Tracker!L31),Tracker!L31,0))</f>
        <v>0</v>
      </c>
      <c r="F30" s="180" t="n">
        <f aca="false">IF(ISNUMBER(Tracker!L31),Tracker!L31,IF(ISNUMBER(Tracker!K31),Tracker!K31,0))</f>
        <v>0</v>
      </c>
      <c r="DU30" s="0" t="str">
        <f aca="false">Tracker!M31</f>
        <v>No Update Received</v>
      </c>
    </row>
    <row r="31" customFormat="false" ht="15" hidden="false" customHeight="false" outlineLevel="1" collapsed="false">
      <c r="A31" s="179" t="str">
        <f aca="false">Tracker!F32</f>
        <v>NEW</v>
      </c>
      <c r="B31" s="179" t="str">
        <f aca="false">Tracker!G32</f>
        <v>C4i Framework Approved</v>
      </c>
      <c r="C31" s="179" t="str">
        <f aca="false">TRIM(Tracker!D32)</f>
        <v>C4i</v>
      </c>
      <c r="D31" s="179" t="str">
        <f aca="false">IF(TRIM(Tracker!J32)="",Tracker!I32,Tracker!J32)</f>
        <v>Department Led</v>
      </c>
      <c r="E31" s="180" t="n">
        <f aca="false">IF(ISNUMBER(Tracker!K32),Tracker!K32,IF(ISNUMBER(Tracker!L32),Tracker!L32,0))</f>
        <v>46266</v>
      </c>
      <c r="F31" s="180" t="n">
        <f aca="false">IF(ISNUMBER(Tracker!L32),Tracker!L32,IF(ISNUMBER(Tracker!K32),Tracker!K32,0))</f>
        <v>46266</v>
      </c>
      <c r="DU31" s="0" t="str">
        <f aca="false">Tracker!M32</f>
        <v>Not Started</v>
      </c>
    </row>
    <row r="32" customFormat="false" ht="15" hidden="false" customHeight="false" outlineLevel="1" collapsed="false">
      <c r="A32" s="179" t="str">
        <f aca="false">Tracker!F33</f>
        <v>NEW</v>
      </c>
      <c r="B32" s="179" t="str">
        <f aca="false">Tracker!G33</f>
        <v>MOC Operating Model Approved</v>
      </c>
      <c r="C32" s="179" t="str">
        <f aca="false">TRIM(Tracker!D33)</f>
        <v>C4i</v>
      </c>
      <c r="D32" s="179" t="str">
        <f aca="false">IF(TRIM(Tracker!J33)="",Tracker!I33,Tracker!J33)</f>
        <v>Department Led</v>
      </c>
      <c r="E32" s="180" t="n">
        <f aca="false">IF(ISNUMBER(Tracker!K33),Tracker!K33,IF(ISNUMBER(Tracker!L33),Tracker!L33,0))</f>
        <v>46280</v>
      </c>
      <c r="F32" s="180" t="n">
        <f aca="false">IF(ISNUMBER(Tracker!L33),Tracker!L33,IF(ISNUMBER(Tracker!K33),Tracker!K33,0))</f>
        <v>46280</v>
      </c>
      <c r="DU32" s="0" t="str">
        <f aca="false">Tracker!M33</f>
        <v>Not Started</v>
      </c>
    </row>
    <row r="33" customFormat="false" ht="15" hidden="false" customHeight="false" outlineLevel="1" collapsed="false">
      <c r="A33" s="179" t="str">
        <f aca="false">Tracker!F34</f>
        <v>NEW</v>
      </c>
      <c r="B33" s="179" t="str">
        <f aca="false">Tracker!G34</f>
        <v>Event-Time Governance &amp; Delegations Framework Signed Off</v>
      </c>
      <c r="C33" s="179" t="str">
        <f aca="false">TRIM(Tracker!D34)</f>
        <v>C4i</v>
      </c>
      <c r="D33" s="179" t="str">
        <f aca="false">IF(TRIM(Tracker!J34)="",Tracker!I34,Tracker!J34)</f>
        <v>Department Led</v>
      </c>
      <c r="E33" s="180" t="n">
        <f aca="false">IF(ISNUMBER(Tracker!K34),Tracker!K34,IF(ISNUMBER(Tracker!L34),Tracker!L34,0))</f>
        <v>46296</v>
      </c>
      <c r="F33" s="180" t="n">
        <f aca="false">IF(ISNUMBER(Tracker!L34),Tracker!L34,IF(ISNUMBER(Tracker!K34),Tracker!K34,0))</f>
        <v>46296</v>
      </c>
      <c r="DU33" s="0" t="str">
        <f aca="false">Tracker!M34</f>
        <v>Not Started</v>
      </c>
    </row>
    <row r="34" customFormat="false" ht="15" hidden="false" customHeight="false" outlineLevel="1" collapsed="false">
      <c r="A34" s="179" t="str">
        <f aca="false">Tracker!F35</f>
        <v>NEW</v>
      </c>
      <c r="B34" s="179" t="str">
        <f aca="false">Tracker!G35</f>
        <v>C4i Communications &amp; Information Management Plan Approved</v>
      </c>
      <c r="C34" s="179" t="str">
        <f aca="false">TRIM(Tracker!D35)</f>
        <v>C4i</v>
      </c>
      <c r="D34" s="179" t="str">
        <f aca="false">IF(TRIM(Tracker!J35)="",Tracker!I35,Tracker!J35)</f>
        <v>Department Led</v>
      </c>
      <c r="E34" s="180" t="n">
        <f aca="false">IF(ISNUMBER(Tracker!K35),Tracker!K35,IF(ISNUMBER(Tracker!L35),Tracker!L35,0))</f>
        <v>46310</v>
      </c>
      <c r="F34" s="180" t="n">
        <f aca="false">IF(ISNUMBER(Tracker!L35),Tracker!L35,IF(ISNUMBER(Tracker!K35),Tracker!K35,0))</f>
        <v>46310</v>
      </c>
      <c r="DU34" s="0" t="str">
        <f aca="false">Tracker!M35</f>
        <v>Not Started</v>
      </c>
    </row>
    <row r="35" customFormat="false" ht="15" hidden="false" customHeight="false" outlineLevel="1" collapsed="false">
      <c r="A35" s="179" t="str">
        <f aca="false">Tracker!F36</f>
        <v>NEW</v>
      </c>
      <c r="B35" s="179" t="str">
        <f aca="false">Tracker!G36</f>
        <v>External Stakeholder Interface Protocols Agreed</v>
      </c>
      <c r="C35" s="179" t="str">
        <f aca="false">TRIM(Tracker!D36)</f>
        <v>C4i</v>
      </c>
      <c r="D35" s="179" t="str">
        <f aca="false">IF(TRIM(Tracker!J36)="",Tracker!I36,Tracker!J36)</f>
        <v>Department Led</v>
      </c>
      <c r="E35" s="180" t="n">
        <f aca="false">IF(ISNUMBER(Tracker!K36),Tracker!K36,IF(ISNUMBER(Tracker!L36),Tracker!L36,0))</f>
        <v>46327</v>
      </c>
      <c r="F35" s="180" t="n">
        <f aca="false">IF(ISNUMBER(Tracker!L36),Tracker!L36,IF(ISNUMBER(Tracker!K36),Tracker!K36,0))</f>
        <v>46327</v>
      </c>
      <c r="DU35" s="0" t="str">
        <f aca="false">Tracker!M36</f>
        <v>Not Started</v>
      </c>
    </row>
    <row r="36" customFormat="false" ht="15" hidden="false" customHeight="false" outlineLevel="1" collapsed="false">
      <c r="A36" s="179" t="str">
        <f aca="false">Tracker!F37</f>
        <v>NEW</v>
      </c>
      <c r="B36" s="179" t="str">
        <f aca="false">Tracker!G37</f>
        <v>MOC Readiness Testing Programme Complete</v>
      </c>
      <c r="C36" s="179" t="str">
        <f aca="false">TRIM(Tracker!D37)</f>
        <v>C4i</v>
      </c>
      <c r="D36" s="179" t="str">
        <f aca="false">IF(TRIM(Tracker!J37)="",Tracker!I37,Tracker!J37)</f>
        <v>Department Led</v>
      </c>
      <c r="E36" s="180" t="n">
        <f aca="false">IF(ISNUMBER(Tracker!K37),Tracker!K37,IF(ISNUMBER(Tracker!L37),Tracker!L37,0))</f>
        <v>46447</v>
      </c>
      <c r="F36" s="180" t="n">
        <f aca="false">IF(ISNUMBER(Tracker!L37),Tracker!L37,IF(ISNUMBER(Tracker!K37),Tracker!K37,0))</f>
        <v>46447</v>
      </c>
      <c r="DU36" s="0" t="str">
        <f aca="false">Tracker!M37</f>
        <v>Not Started</v>
      </c>
    </row>
    <row r="37" customFormat="false" ht="15" hidden="false" customHeight="false" outlineLevel="1" collapsed="false">
      <c r="A37" s="179" t="str">
        <f aca="false">Tracker!F38</f>
        <v>NEW</v>
      </c>
      <c r="B37" s="179" t="str">
        <f aca="false">Tracker!G38</f>
        <v>C4i Stakeholder Integration Complete</v>
      </c>
      <c r="C37" s="179" t="str">
        <f aca="false">TRIM(Tracker!D38)</f>
        <v>C4i</v>
      </c>
      <c r="D37" s="179" t="str">
        <f aca="false">IF(TRIM(Tracker!J38)="",Tracker!I38,Tracker!J38)</f>
        <v>Department Led</v>
      </c>
      <c r="E37" s="180" t="n">
        <f aca="false">IF(ISNUMBER(Tracker!K38),Tracker!K38,IF(ISNUMBER(Tracker!L38),Tracker!L38,0))</f>
        <v>46461</v>
      </c>
      <c r="F37" s="180" t="n">
        <f aca="false">IF(ISNUMBER(Tracker!L38),Tracker!L38,IF(ISNUMBER(Tracker!K38),Tracker!K38,0))</f>
        <v>46461</v>
      </c>
      <c r="DU37" s="0" t="str">
        <f aca="false">Tracker!M38</f>
        <v>Not Started</v>
      </c>
    </row>
    <row r="38" customFormat="false" ht="15" hidden="false" customHeight="false" outlineLevel="1" collapsed="false">
      <c r="A38" s="179" t="str">
        <f aca="false">Tracker!F39</f>
        <v>CM.C4i.01</v>
      </c>
      <c r="B38" s="179" t="str">
        <f aca="false">Tracker!G39</f>
        <v> C4i Governance &amp; Operating Frameworks</v>
      </c>
      <c r="C38" s="179" t="str">
        <f aca="false">TRIM(Tracker!D39)</f>
        <v>C4i</v>
      </c>
      <c r="D38" s="179" t="str">
        <f aca="false">IF(TRIM(Tracker!J39)="",Tracker!I39,Tracker!J39)</f>
        <v>Teymur</v>
      </c>
      <c r="E38" s="180" t="n">
        <f aca="false">IF(ISNUMBER(Tracker!K39),Tracker!K39,IF(ISNUMBER(Tracker!L39),Tracker!L39,0))</f>
        <v>46223</v>
      </c>
      <c r="F38" s="180" t="n">
        <f aca="false">IF(ISNUMBER(Tracker!L39),Tracker!L39,IF(ISNUMBER(Tracker!K39),Tracker!K39,0))</f>
        <v>46295</v>
      </c>
      <c r="DU38" s="0" t="str">
        <f aca="false">Tracker!M39</f>
        <v>On Track</v>
      </c>
    </row>
    <row r="39" customFormat="false" ht="15" hidden="false" customHeight="false" outlineLevel="1" collapsed="false">
      <c r="A39" s="179" t="str">
        <f aca="false">Tracker!F40</f>
        <v>CM.C4i.01.1</v>
      </c>
      <c r="B39" s="179" t="str">
        <f aca="false">Tracker!G40</f>
        <v>C4i baseline review and gap analysis complete</v>
      </c>
      <c r="C39" s="179" t="str">
        <f aca="false">TRIM(Tracker!D40)</f>
        <v>C4i</v>
      </c>
      <c r="D39" s="179" t="str">
        <f aca="false">IF(TRIM(Tracker!J40)="",Tracker!I40,Tracker!J40)</f>
        <v>Teymur</v>
      </c>
      <c r="E39" s="180" t="n">
        <f aca="false">IF(ISNUMBER(Tracker!K40),Tracker!K40,IF(ISNUMBER(Tracker!L40),Tracker!L40,0))</f>
        <v>46209</v>
      </c>
      <c r="F39" s="180" t="n">
        <f aca="false">IF(ISNUMBER(Tracker!L40),Tracker!L40,IF(ISNUMBER(Tracker!K40),Tracker!K40,0))</f>
        <v>46234</v>
      </c>
      <c r="DU39" s="0" t="str">
        <f aca="false">Tracker!M40</f>
        <v>Complete</v>
      </c>
    </row>
    <row r="40" customFormat="false" ht="15" hidden="false" customHeight="false" outlineLevel="1" collapsed="false">
      <c r="A40" s="179" t="str">
        <f aca="false">Tracker!F41</f>
        <v>CM.C4i.01.2</v>
      </c>
      <c r="B40" s="179" t="str">
        <f aca="false">Tracker!G41</f>
        <v>C4i Framework V1 produced</v>
      </c>
      <c r="C40" s="179" t="str">
        <f aca="false">TRIM(Tracker!D41)</f>
        <v>C4i</v>
      </c>
      <c r="D40" s="179" t="str">
        <f aca="false">IF(TRIM(Tracker!J41)="",Tracker!I41,Tracker!J41)</f>
        <v>Teymur</v>
      </c>
      <c r="E40" s="180" t="n">
        <f aca="false">IF(ISNUMBER(Tracker!K41),Tracker!K41,IF(ISNUMBER(Tracker!L41),Tracker!L41,0))</f>
        <v>46223</v>
      </c>
      <c r="F40" s="180" t="n">
        <f aca="false">IF(ISNUMBER(Tracker!L41),Tracker!L41,IF(ISNUMBER(Tracker!K41),Tracker!K41,0))</f>
        <v>46252</v>
      </c>
      <c r="DU40" s="0" t="str">
        <f aca="false">Tracker!M41</f>
        <v>On Track</v>
      </c>
    </row>
    <row r="41" customFormat="false" ht="15" hidden="false" customHeight="false" outlineLevel="1" collapsed="false">
      <c r="A41" s="179" t="str">
        <f aca="false">Tracker!F42</f>
        <v>CM.C4i.01.2.1</v>
      </c>
      <c r="B41" s="179" t="str">
        <f aca="false">Tracker!G42</f>
        <v>Framework structure and section architecture agreed</v>
      </c>
      <c r="C41" s="179" t="str">
        <f aca="false">TRIM(Tracker!D42)</f>
        <v>C4i</v>
      </c>
      <c r="D41" s="179" t="str">
        <f aca="false">IF(TRIM(Tracker!J42)="",Tracker!I42,Tracker!J42)</f>
        <v>Teymur</v>
      </c>
      <c r="E41" s="180" t="n">
        <f aca="false">IF(ISNUMBER(Tracker!K42),Tracker!K42,IF(ISNUMBER(Tracker!L42),Tracker!L42,0))</f>
        <v>46223</v>
      </c>
      <c r="F41" s="180" t="n">
        <f aca="false">IF(ISNUMBER(Tracker!L42),Tracker!L42,IF(ISNUMBER(Tracker!K42),Tracker!K42,0))</f>
        <v>46234</v>
      </c>
      <c r="DU41" s="0" t="str">
        <f aca="false">Tracker!M42</f>
        <v>Complete</v>
      </c>
    </row>
    <row r="42" customFormat="false" ht="15" hidden="false" customHeight="false" outlineLevel="1" collapsed="false">
      <c r="A42" s="179" t="str">
        <f aca="false">Tracker!F43</f>
        <v>CM.C4i.01.2.2</v>
      </c>
      <c r="B42" s="179" t="str">
        <f aca="false">Tracker!G43</f>
        <v>Sections 1 to 4 drafted (purpose, principles, command tiers, centre architecture)</v>
      </c>
      <c r="C42" s="179" t="str">
        <f aca="false">TRIM(Tracker!D43)</f>
        <v>C4i</v>
      </c>
      <c r="D42" s="179" t="str">
        <f aca="false">IF(TRIM(Tracker!J43)="",Tracker!I43,Tracker!J43)</f>
        <v>Teymur</v>
      </c>
      <c r="E42" s="180" t="n">
        <f aca="false">IF(ISNUMBER(Tracker!K43),Tracker!K43,IF(ISNUMBER(Tracker!L43),Tracker!L43,0))</f>
        <v>46230</v>
      </c>
      <c r="F42" s="180" t="n">
        <f aca="false">IF(ISNUMBER(Tracker!L43),Tracker!L43,IF(ISNUMBER(Tracker!K43),Tracker!K43,0))</f>
        <v>46248</v>
      </c>
      <c r="DU42" s="0" t="str">
        <f aca="false">Tracker!M43</f>
        <v>On Track</v>
      </c>
    </row>
    <row r="43" customFormat="false" ht="15" hidden="false" customHeight="false" outlineLevel="1" collapsed="false">
      <c r="A43" s="179" t="str">
        <f aca="false">Tracker!F44</f>
        <v>CM.C4i.01.2.3</v>
      </c>
      <c r="B43" s="179" t="str">
        <f aca="false">Tracker!G44</f>
        <v>Structural decisions register issued for Project Director ruling</v>
      </c>
      <c r="C43" s="179" t="str">
        <f aca="false">TRIM(Tracker!D44)</f>
        <v>C4i</v>
      </c>
      <c r="D43" s="179" t="str">
        <f aca="false">IF(TRIM(Tracker!J44)="",Tracker!I44,Tracker!J44)</f>
        <v>Teymur</v>
      </c>
      <c r="E43" s="180" t="n">
        <f aca="false">IF(ISNUMBER(Tracker!K44),Tracker!K44,IF(ISNUMBER(Tracker!L44),Tracker!L44,0))</f>
        <v>46238</v>
      </c>
      <c r="F43" s="180" t="n">
        <f aca="false">IF(ISNUMBER(Tracker!L44),Tracker!L44,IF(ISNUMBER(Tracker!K44),Tracker!K44,0))</f>
        <v>46252</v>
      </c>
      <c r="DU43" s="0" t="str">
        <f aca="false">Tracker!M44</f>
        <v>On Track</v>
      </c>
    </row>
    <row r="44" customFormat="false" ht="15" hidden="false" customHeight="false" outlineLevel="1" collapsed="false">
      <c r="A44" s="179" t="str">
        <f aca="false">Tracker!F45</f>
        <v>CM.C4i.01.3</v>
      </c>
      <c r="B44" s="179" t="str">
        <f aca="false">Tracker!G45</f>
        <v>C4i terminology and naming conventions ratified</v>
      </c>
      <c r="C44" s="179" t="str">
        <f aca="false">TRIM(Tracker!D45)</f>
        <v>C4i</v>
      </c>
      <c r="D44" s="179" t="str">
        <f aca="false">IF(TRIM(Tracker!J45)="",Tracker!I45,Tracker!J45)</f>
        <v>Teymur</v>
      </c>
      <c r="E44" s="180" t="n">
        <f aca="false">IF(ISNUMBER(Tracker!K45),Tracker!K45,IF(ISNUMBER(Tracker!L45),Tracker!L45,0))</f>
        <v>46237</v>
      </c>
      <c r="F44" s="180" t="n">
        <f aca="false">IF(ISNUMBER(Tracker!L45),Tracker!L45,IF(ISNUMBER(Tracker!K45),Tracker!K45,0))</f>
        <v>46265</v>
      </c>
      <c r="DU44" s="0" t="str">
        <f aca="false">Tracker!M45</f>
        <v>On Track</v>
      </c>
    </row>
    <row r="45" customFormat="false" ht="15" hidden="false" customHeight="false" outlineLevel="1" collapsed="false">
      <c r="A45" s="179" t="str">
        <f aca="false">Tracker!F46</f>
        <v>CM.C4i.01.4</v>
      </c>
      <c r="B45" s="179" t="str">
        <f aca="false">Tracker!G46</f>
        <v>C4i Framework V1 approved</v>
      </c>
      <c r="C45" s="179" t="str">
        <f aca="false">TRIM(Tracker!D46)</f>
        <v>C4i</v>
      </c>
      <c r="D45" s="179" t="str">
        <f aca="false">IF(TRIM(Tracker!J46)="",Tracker!I46,Tracker!J46)</f>
        <v>Teymur</v>
      </c>
      <c r="E45" s="180" t="n">
        <f aca="false">IF(ISNUMBER(Tracker!K46),Tracker!K46,IF(ISNUMBER(Tracker!L46),Tracker!L46,0))</f>
        <v>46252</v>
      </c>
      <c r="F45" s="180" t="n">
        <f aca="false">IF(ISNUMBER(Tracker!L46),Tracker!L46,IF(ISNUMBER(Tracker!K46),Tracker!K46,0))</f>
        <v>46269</v>
      </c>
      <c r="DU45" s="0" t="str">
        <f aca="false">Tracker!M46</f>
        <v>Not Started</v>
      </c>
    </row>
    <row r="46" customFormat="false" ht="15" hidden="false" customHeight="false" outlineLevel="1" collapsed="false">
      <c r="A46" s="179" t="str">
        <f aca="false">Tracker!F47</f>
        <v>CM.C4i.01.5</v>
      </c>
      <c r="B46" s="179" t="str">
        <f aca="false">Tracker!G47</f>
        <v>C4i Framework V2 completed (Sections 5 to 9)</v>
      </c>
      <c r="C46" s="179" t="str">
        <f aca="false">TRIM(Tracker!D47)</f>
        <v>C4i</v>
      </c>
      <c r="D46" s="179" t="str">
        <f aca="false">IF(TRIM(Tracker!J47)="",Tracker!I47,Tracker!J47)</f>
        <v>Teymur</v>
      </c>
      <c r="E46" s="180" t="n">
        <f aca="false">IF(ISNUMBER(Tracker!K47),Tracker!K47,IF(ISNUMBER(Tracker!L47),Tracker!L47,0))</f>
        <v>46272</v>
      </c>
      <c r="F46" s="180" t="n">
        <f aca="false">IF(ISNUMBER(Tracker!L47),Tracker!L47,IF(ISNUMBER(Tracker!K47),Tracker!K47,0))</f>
        <v>46295</v>
      </c>
      <c r="DU46" s="0" t="str">
        <f aca="false">Tracker!M47</f>
        <v>Not Started</v>
      </c>
    </row>
    <row r="47" customFormat="false" ht="15" hidden="false" customHeight="false" outlineLevel="1" collapsed="false">
      <c r="A47" s="179" t="str">
        <f aca="false">Tracker!F48</f>
        <v>CM.C4i.01.6</v>
      </c>
      <c r="B47" s="179" t="str">
        <f aca="false">Tracker!G48</f>
        <v>Framework socialisation and departmental briefing complete</v>
      </c>
      <c r="C47" s="179" t="str">
        <f aca="false">TRIM(Tracker!D48)</f>
        <v>C4i</v>
      </c>
      <c r="D47" s="179" t="str">
        <f aca="false">IF(TRIM(Tracker!J48)="",Tracker!I48,Tracker!J48)</f>
        <v>Teymur</v>
      </c>
      <c r="E47" s="180" t="n">
        <f aca="false">IF(ISNUMBER(Tracker!K48),Tracker!K48,IF(ISNUMBER(Tracker!L48),Tracker!L48,0))</f>
        <v>46300</v>
      </c>
      <c r="F47" s="180" t="n">
        <f aca="false">IF(ISNUMBER(Tracker!L48),Tracker!L48,IF(ISNUMBER(Tracker!K48),Tracker!K48,0))</f>
        <v>46325</v>
      </c>
      <c r="DU47" s="0" t="str">
        <f aca="false">Tracker!M48</f>
        <v>Not Started</v>
      </c>
    </row>
    <row r="48" customFormat="false" ht="15" hidden="false" customHeight="false" outlineLevel="1" collapsed="false">
      <c r="A48" s="179" t="str">
        <f aca="false">Tracker!F49</f>
        <v>CM.C4i.02</v>
      </c>
      <c r="B48" s="179" t="str">
        <f aca="false">Tracker!G49</f>
        <v>C4i Strategy, Plans &amp; Operational Protocols</v>
      </c>
      <c r="C48" s="179" t="str">
        <f aca="false">TRIM(Tracker!D49)</f>
        <v>C4i</v>
      </c>
      <c r="D48" s="179" t="str">
        <f aca="false">IF(TRIM(Tracker!J49)="",Tracker!I49,Tracker!J49)</f>
        <v>Teymur</v>
      </c>
      <c r="E48" s="180" t="n">
        <f aca="false">IF(ISNUMBER(Tracker!K49),Tracker!K49,IF(ISNUMBER(Tracker!L49),Tracker!L49,0))</f>
        <v>46266</v>
      </c>
      <c r="F48" s="180" t="n">
        <f aca="false">IF(ISNUMBER(Tracker!L49),Tracker!L49,IF(ISNUMBER(Tracker!K49),Tracker!K49,0))</f>
        <v>46446</v>
      </c>
      <c r="DU48" s="0" t="str">
        <f aca="false">Tracker!M49</f>
        <v>Not Started</v>
      </c>
    </row>
    <row r="49" customFormat="false" ht="15" hidden="false" customHeight="false" outlineLevel="1" collapsed="false">
      <c r="A49" s="179" t="str">
        <f aca="false">Tracker!F50</f>
        <v>CM.C4i.02.1</v>
      </c>
      <c r="B49" s="179" t="str">
        <f aca="false">Tracker!G50</f>
        <v>C4i Plan V1 drafted</v>
      </c>
      <c r="C49" s="179" t="str">
        <f aca="false">TRIM(Tracker!D50)</f>
        <v>C4i</v>
      </c>
      <c r="D49" s="179" t="str">
        <f aca="false">IF(TRIM(Tracker!J50)="",Tracker!I50,Tracker!J50)</f>
        <v>Teymur</v>
      </c>
      <c r="E49" s="180" t="n">
        <f aca="false">IF(ISNUMBER(Tracker!K50),Tracker!K50,IF(ISNUMBER(Tracker!L50),Tracker!L50,0))</f>
        <v>46266</v>
      </c>
      <c r="F49" s="180" t="n">
        <f aca="false">IF(ISNUMBER(Tracker!L50),Tracker!L50,IF(ISNUMBER(Tracker!K50),Tracker!K50,0))</f>
        <v>46356</v>
      </c>
      <c r="DU49" s="0" t="str">
        <f aca="false">Tracker!M50</f>
        <v>Not Started</v>
      </c>
    </row>
    <row r="50" customFormat="false" ht="15" hidden="false" customHeight="false" outlineLevel="1" collapsed="false">
      <c r="A50" s="179" t="str">
        <f aca="false">Tracker!F51</f>
        <v>CM.C4i.02.1.1</v>
      </c>
      <c r="B50" s="179" t="str">
        <f aca="false">Tracker!G51</f>
        <v>Plan structure and contents agreed with section owners</v>
      </c>
      <c r="C50" s="179" t="str">
        <f aca="false">TRIM(Tracker!D51)</f>
        <v>C4i</v>
      </c>
      <c r="D50" s="179" t="str">
        <f aca="false">IF(TRIM(Tracker!J51)="",Tracker!I51,Tracker!J51)</f>
        <v>Teymur</v>
      </c>
      <c r="E50" s="180" t="n">
        <f aca="false">IF(ISNUMBER(Tracker!K51),Tracker!K51,IF(ISNUMBER(Tracker!L51),Tracker!L51,0))</f>
        <v>46266</v>
      </c>
      <c r="F50" s="180" t="n">
        <f aca="false">IF(ISNUMBER(Tracker!L51),Tracker!L51,IF(ISNUMBER(Tracker!K51),Tracker!K51,0))</f>
        <v>46280</v>
      </c>
      <c r="DU50" s="0" t="str">
        <f aca="false">Tracker!M51</f>
        <v>Not Started</v>
      </c>
    </row>
    <row r="51" customFormat="false" ht="15" hidden="false" customHeight="false" outlineLevel="1" collapsed="false">
      <c r="A51" s="179" t="str">
        <f aca="false">Tracker!F52</f>
        <v>CM.C4i.02.1.2</v>
      </c>
      <c r="B51" s="179" t="str">
        <f aca="false">Tracker!G52</f>
        <v>Core operating sections drafted</v>
      </c>
      <c r="C51" s="179" t="str">
        <f aca="false">TRIM(Tracker!D52)</f>
        <v>C4i</v>
      </c>
      <c r="D51" s="179" t="str">
        <f aca="false">IF(TRIM(Tracker!J52)="",Tracker!I52,Tracker!J52)</f>
        <v>Teymur</v>
      </c>
      <c r="E51" s="180" t="n">
        <f aca="false">IF(ISNUMBER(Tracker!K52),Tracker!K52,IF(ISNUMBER(Tracker!L52),Tracker!L52,0))</f>
        <v>46280</v>
      </c>
      <c r="F51" s="180" t="n">
        <f aca="false">IF(ISNUMBER(Tracker!L52),Tracker!L52,IF(ISNUMBER(Tracker!K52),Tracker!K52,0))</f>
        <v>46326</v>
      </c>
      <c r="DU51" s="0" t="str">
        <f aca="false">Tracker!M52</f>
        <v>Not Started</v>
      </c>
    </row>
    <row r="52" customFormat="false" ht="15" hidden="false" customHeight="false" outlineLevel="1" collapsed="false">
      <c r="A52" s="179" t="str">
        <f aca="false">Tracker!F53</f>
        <v>CM.C4i.02.1.3</v>
      </c>
      <c r="B52" s="179" t="str">
        <f aca="false">Tracker!G53</f>
        <v>Annexes and quick-reference cards drafted</v>
      </c>
      <c r="C52" s="179" t="str">
        <f aca="false">TRIM(Tracker!D53)</f>
        <v>C4i</v>
      </c>
      <c r="D52" s="179" t="str">
        <f aca="false">IF(TRIM(Tracker!J53)="",Tracker!I53,Tracker!J53)</f>
        <v>Teymur</v>
      </c>
      <c r="E52" s="180" t="n">
        <f aca="false">IF(ISNUMBER(Tracker!K53),Tracker!K53,IF(ISNUMBER(Tracker!L53),Tracker!L53,0))</f>
        <v>46310</v>
      </c>
      <c r="F52" s="180" t="n">
        <f aca="false">IF(ISNUMBER(Tracker!L53),Tracker!L53,IF(ISNUMBER(Tracker!K53),Tracker!K53,0))</f>
        <v>46356</v>
      </c>
      <c r="DU52" s="0" t="str">
        <f aca="false">Tracker!M53</f>
        <v>Not Started</v>
      </c>
    </row>
    <row r="53" customFormat="false" ht="15" hidden="false" customHeight="false" outlineLevel="1" collapsed="false">
      <c r="A53" s="179" t="str">
        <f aca="false">Tracker!F54</f>
        <v>CM.C4i.02.2</v>
      </c>
      <c r="B53" s="179" t="str">
        <f aca="false">Tracker!G54</f>
        <v>Peak and special operating annexes drafted</v>
      </c>
      <c r="C53" s="179" t="str">
        <f aca="false">TRIM(Tracker!D54)</f>
        <v>C4i</v>
      </c>
      <c r="D53" s="179" t="str">
        <f aca="false">IF(TRIM(Tracker!J54)="",Tracker!I54,Tracker!J54)</f>
        <v>Teymur</v>
      </c>
      <c r="E53" s="180" t="n">
        <f aca="false">IF(ISNUMBER(Tracker!K54),Tracker!K54,IF(ISNUMBER(Tracker!L54),Tracker!L54,0))</f>
        <v>46327</v>
      </c>
      <c r="F53" s="180" t="n">
        <f aca="false">IF(ISNUMBER(Tracker!L54),Tracker!L54,IF(ISNUMBER(Tracker!K54),Tracker!K54,0))</f>
        <v>46418</v>
      </c>
      <c r="DU53" s="0" t="str">
        <f aca="false">Tracker!M54</f>
        <v>Not Started</v>
      </c>
    </row>
    <row r="54" customFormat="false" ht="15" hidden="false" customHeight="false" outlineLevel="1" collapsed="false">
      <c r="A54" s="179" t="str">
        <f aca="false">Tracker!F55</f>
        <v>CM.C4i.02.3</v>
      </c>
      <c r="B54" s="179" t="str">
        <f aca="false">Tracker!G55</f>
        <v>Degraded and business continuity operating procedures defined</v>
      </c>
      <c r="C54" s="179" t="str">
        <f aca="false">TRIM(Tracker!D55)</f>
        <v>C4i</v>
      </c>
      <c r="D54" s="179" t="str">
        <f aca="false">IF(TRIM(Tracker!J55)="",Tracker!I55,Tracker!J55)</f>
        <v>Teymur</v>
      </c>
      <c r="E54" s="180" t="n">
        <f aca="false">IF(ISNUMBER(Tracker!K55),Tracker!K55,IF(ISNUMBER(Tracker!L55),Tracker!L55,0))</f>
        <v>46327</v>
      </c>
      <c r="F54" s="180" t="n">
        <f aca="false">IF(ISNUMBER(Tracker!L55),Tracker!L55,IF(ISNUMBER(Tracker!K55),Tracker!K55,0))</f>
        <v>46418</v>
      </c>
      <c r="DU54" s="0" t="str">
        <f aca="false">Tracker!M55</f>
        <v>Not Started</v>
      </c>
    </row>
    <row r="55" customFormat="false" ht="15" hidden="false" customHeight="false" outlineLevel="1" collapsed="false">
      <c r="A55" s="179" t="str">
        <f aca="false">Tracker!F56</f>
        <v>CM.C4i.02.4</v>
      </c>
      <c r="B55" s="179" t="str">
        <f aca="false">Tracker!G56</f>
        <v>C4i operational protocols and SOP suite defined</v>
      </c>
      <c r="C55" s="179" t="str">
        <f aca="false">TRIM(Tracker!D56)</f>
        <v>C4i</v>
      </c>
      <c r="D55" s="179" t="str">
        <f aca="false">IF(TRIM(Tracker!J56)="",Tracker!I56,Tracker!J56)</f>
        <v>Teymur</v>
      </c>
      <c r="E55" s="180" t="n">
        <f aca="false">IF(ISNUMBER(Tracker!K56),Tracker!K56,IF(ISNUMBER(Tracker!L56),Tracker!L56,0))</f>
        <v>46327</v>
      </c>
      <c r="F55" s="180" t="n">
        <f aca="false">IF(ISNUMBER(Tracker!L56),Tracker!L56,IF(ISNUMBER(Tracker!K56),Tracker!K56,0))</f>
        <v>46446</v>
      </c>
      <c r="DU55" s="0" t="str">
        <f aca="false">Tracker!M56</f>
        <v>Not Started</v>
      </c>
    </row>
    <row r="56" customFormat="false" ht="15" hidden="false" customHeight="false" outlineLevel="1" collapsed="false">
      <c r="A56" s="179" t="str">
        <f aca="false">Tracker!F57</f>
        <v>CM.C4i.02.4.1</v>
      </c>
      <c r="B56" s="179" t="str">
        <f aca="false">Tracker!G57</f>
        <v>Core MOC SOPs drafted (activation, handover, log, SITREP, debrief)</v>
      </c>
      <c r="C56" s="179" t="str">
        <f aca="false">TRIM(Tracker!D57)</f>
        <v>C4i</v>
      </c>
      <c r="D56" s="179" t="str">
        <f aca="false">IF(TRIM(Tracker!J57)="",Tracker!I57,Tracker!J57)</f>
        <v>Teymur</v>
      </c>
      <c r="E56" s="180" t="n">
        <f aca="false">IF(ISNUMBER(Tracker!K57),Tracker!K57,IF(ISNUMBER(Tracker!L57),Tracker!L57,0))</f>
        <v>46346</v>
      </c>
      <c r="F56" s="180" t="n">
        <f aca="false">IF(ISNUMBER(Tracker!L57),Tracker!L57,IF(ISNUMBER(Tracker!K57),Tracker!K57,0))</f>
        <v>46402</v>
      </c>
      <c r="DU56" s="0" t="str">
        <f aca="false">Tracker!M57</f>
        <v>Not Started</v>
      </c>
    </row>
    <row r="57" customFormat="false" ht="15" hidden="false" customHeight="false" outlineLevel="1" collapsed="false">
      <c r="A57" s="179" t="str">
        <f aca="false">Tracker!F58</f>
        <v>CM.C4i.02.4.2</v>
      </c>
      <c r="B57" s="179" t="str">
        <f aca="false">Tracker!G58</f>
        <v>Interface SOPs drafted (EOC, external agency, partner centre)</v>
      </c>
      <c r="C57" s="179" t="str">
        <f aca="false">TRIM(Tracker!D58)</f>
        <v>C4i</v>
      </c>
      <c r="D57" s="179" t="str">
        <f aca="false">IF(TRIM(Tracker!J58)="",Tracker!I58,Tracker!J58)</f>
        <v>Teymur</v>
      </c>
      <c r="E57" s="180" t="n">
        <f aca="false">IF(ISNUMBER(Tracker!K58),Tracker!K58,IF(ISNUMBER(Tracker!L58),Tracker!L58,0))</f>
        <v>46392</v>
      </c>
      <c r="F57" s="180" t="n">
        <f aca="false">IF(ISNUMBER(Tracker!L58),Tracker!L58,IF(ISNUMBER(Tracker!K58),Tracker!K58,0))</f>
        <v>46433</v>
      </c>
      <c r="DU57" s="0" t="str">
        <f aca="false">Tracker!M58</f>
        <v>Not Started</v>
      </c>
    </row>
    <row r="58" customFormat="false" ht="15" hidden="false" customHeight="false" outlineLevel="1" collapsed="false">
      <c r="A58" s="179" t="str">
        <f aca="false">Tracker!F59</f>
        <v>CM.C4i.02.4.3</v>
      </c>
      <c r="B58" s="179" t="str">
        <f aca="false">Tracker!G59</f>
        <v>SOP suite published and referenced in the C4i Plan</v>
      </c>
      <c r="C58" s="179" t="str">
        <f aca="false">TRIM(Tracker!D59)</f>
        <v>C4i</v>
      </c>
      <c r="D58" s="179" t="str">
        <f aca="false">IF(TRIM(Tracker!J59)="",Tracker!I59,Tracker!J59)</f>
        <v>Teymur</v>
      </c>
      <c r="E58" s="180" t="n">
        <f aca="false">IF(ISNUMBER(Tracker!K59),Tracker!K59,IF(ISNUMBER(Tracker!L59),Tracker!L59,0))</f>
        <v>46433</v>
      </c>
      <c r="F58" s="180" t="n">
        <f aca="false">IF(ISNUMBER(Tracker!L59),Tracker!L59,IF(ISNUMBER(Tracker!K59),Tracker!K59,0))</f>
        <v>46446</v>
      </c>
      <c r="DU58" s="0" t="str">
        <f aca="false">Tracker!M59</f>
        <v>Not Started</v>
      </c>
    </row>
    <row r="59" customFormat="false" ht="15" hidden="false" customHeight="false" outlineLevel="1" collapsed="false">
      <c r="A59" s="179" t="str">
        <f aca="false">Tracker!F60</f>
        <v>CM.C4i.02.5</v>
      </c>
      <c r="B59" s="179" t="str">
        <f aca="false">Tracker!G60</f>
        <v>C4i Plan (Final) submitted for approval</v>
      </c>
      <c r="C59" s="179" t="str">
        <f aca="false">TRIM(Tracker!D60)</f>
        <v>C4i</v>
      </c>
      <c r="D59" s="179" t="str">
        <f aca="false">IF(TRIM(Tracker!J60)="",Tracker!I60,Tracker!J60)</f>
        <v>Teymur</v>
      </c>
      <c r="E59" s="180" t="n">
        <f aca="false">IF(ISNUMBER(Tracker!K60),Tracker!K60,IF(ISNUMBER(Tracker!L60),Tracker!L60,0))</f>
        <v>46357</v>
      </c>
      <c r="F59" s="180" t="n">
        <f aca="false">IF(ISNUMBER(Tracker!L60),Tracker!L60,IF(ISNUMBER(Tracker!K60),Tracker!K60,0))</f>
        <v>46412</v>
      </c>
      <c r="DU59" s="0" t="str">
        <f aca="false">Tracker!M60</f>
        <v>Not Started</v>
      </c>
    </row>
    <row r="60" customFormat="false" ht="15" hidden="false" customHeight="false" outlineLevel="1" collapsed="false">
      <c r="A60" s="179" t="str">
        <f aca="false">Tracker!F61</f>
        <v>CM.C4i.03</v>
      </c>
      <c r="B60" s="179" t="str">
        <f aca="false">Tracker!G61</f>
        <v>MOC &amp; EOC Operating Models</v>
      </c>
      <c r="C60" s="179" t="str">
        <f aca="false">TRIM(Tracker!D61)</f>
        <v>C4i</v>
      </c>
      <c r="D60" s="179" t="str">
        <f aca="false">IF(TRIM(Tracker!J61)="",Tracker!I61,Tracker!J61)</f>
        <v>Teymur</v>
      </c>
      <c r="E60" s="180" t="n">
        <f aca="false">IF(ISNUMBER(Tracker!K61),Tracker!K61,IF(ISNUMBER(Tracker!L61),Tracker!L61,0))</f>
        <v>46223</v>
      </c>
      <c r="F60" s="180" t="n">
        <f aca="false">IF(ISNUMBER(Tracker!L61),Tracker!L61,IF(ISNUMBER(Tracker!K61),Tracker!K61,0))</f>
        <v>46428</v>
      </c>
      <c r="DU60" s="0" t="str">
        <f aca="false">Tracker!M61</f>
        <v>On Track</v>
      </c>
    </row>
    <row r="61" customFormat="false" ht="15" hidden="false" customHeight="false" outlineLevel="1" collapsed="false">
      <c r="A61" s="179" t="str">
        <f aca="false">Tracker!F62</f>
        <v>CM.C4i.03.1</v>
      </c>
      <c r="B61" s="179" t="str">
        <f aca="false">Tracker!G62</f>
        <v>MOC operational requirements defined</v>
      </c>
      <c r="C61" s="179" t="str">
        <f aca="false">TRIM(Tracker!D62)</f>
        <v>C4i</v>
      </c>
      <c r="D61" s="179" t="str">
        <f aca="false">IF(TRIM(Tracker!J62)="",Tracker!I62,Tracker!J62)</f>
        <v>Teymur</v>
      </c>
      <c r="E61" s="180" t="n">
        <f aca="false">IF(ISNUMBER(Tracker!K62),Tracker!K62,IF(ISNUMBER(Tracker!L62),Tracker!L62,0))</f>
        <v>46223</v>
      </c>
      <c r="F61" s="180" t="n">
        <f aca="false">IF(ISNUMBER(Tracker!L62),Tracker!L62,IF(ISNUMBER(Tracker!K62),Tracker!K62,0))</f>
        <v>46249</v>
      </c>
      <c r="DU61" s="0" t="str">
        <f aca="false">Tracker!M62</f>
        <v>On Track</v>
      </c>
    </row>
    <row r="62" customFormat="false" ht="15" hidden="false" customHeight="false" outlineLevel="1" collapsed="false">
      <c r="A62" s="179" t="str">
        <f aca="false">Tracker!F63</f>
        <v>CM.C4i.03.2</v>
      </c>
      <c r="B62" s="179" t="str">
        <f aca="false">Tracker!G63</f>
        <v>MOC space, layout and seating plan reviewed</v>
      </c>
      <c r="C62" s="179" t="str">
        <f aca="false">TRIM(Tracker!D63)</f>
        <v>C4i</v>
      </c>
      <c r="D62" s="179" t="str">
        <f aca="false">IF(TRIM(Tracker!J63)="",Tracker!I63,Tracker!J63)</f>
        <v>Teymur</v>
      </c>
      <c r="E62" s="180" t="n">
        <f aca="false">IF(ISNUMBER(Tracker!K63),Tracker!K63,IF(ISNUMBER(Tracker!L63),Tracker!L63,0))</f>
        <v>46249</v>
      </c>
      <c r="F62" s="180" t="n">
        <f aca="false">IF(ISNUMBER(Tracker!L63),Tracker!L63,IF(ISNUMBER(Tracker!K63),Tracker!K63,0))</f>
        <v>46356</v>
      </c>
      <c r="DU62" s="0" t="str">
        <f aca="false">Tracker!M63</f>
        <v>Not Started</v>
      </c>
    </row>
    <row r="63" customFormat="false" ht="15" hidden="false" customHeight="false" outlineLevel="1" collapsed="false">
      <c r="A63" s="179" t="str">
        <f aca="false">Tracker!F64</f>
        <v>CM.C4i.03.3</v>
      </c>
      <c r="B63" s="179" t="str">
        <f aca="false">Tracker!G64</f>
        <v>MOC FF&amp;E and as-built gap schedule issued</v>
      </c>
      <c r="C63" s="179" t="str">
        <f aca="false">TRIM(Tracker!D64)</f>
        <v>C4i</v>
      </c>
      <c r="D63" s="179" t="str">
        <f aca="false">IF(TRIM(Tracker!J64)="",Tracker!I64,Tracker!J64)</f>
        <v>Teymur</v>
      </c>
      <c r="E63" s="180" t="n">
        <f aca="false">IF(ISNUMBER(Tracker!K64),Tracker!K64,IF(ISNUMBER(Tracker!L64),Tracker!L64,0))</f>
        <v>46244</v>
      </c>
      <c r="F63" s="180" t="n">
        <f aca="false">IF(ISNUMBER(Tracker!L64),Tracker!L64,IF(ISNUMBER(Tracker!K64),Tracker!K64,0))</f>
        <v>46295</v>
      </c>
      <c r="DU63" s="0" t="str">
        <f aca="false">Tracker!M64</f>
        <v>Not Started</v>
      </c>
    </row>
    <row r="64" customFormat="false" ht="15" hidden="false" customHeight="false" outlineLevel="1" collapsed="false">
      <c r="A64" s="179" t="str">
        <f aca="false">Tracker!F65</f>
        <v>CM.C4i.03.4</v>
      </c>
      <c r="B64" s="179" t="str">
        <f aca="false">Tracker!G65</f>
        <v>MOC Operating Model V1 published</v>
      </c>
      <c r="C64" s="179" t="str">
        <f aca="false">TRIM(Tracker!D65)</f>
        <v>C4i</v>
      </c>
      <c r="D64" s="179" t="str">
        <f aca="false">IF(TRIM(Tracker!J65)="",Tracker!I65,Tracker!J65)</f>
        <v>Teymur</v>
      </c>
      <c r="E64" s="180" t="n">
        <f aca="false">IF(ISNUMBER(Tracker!K65),Tracker!K65,IF(ISNUMBER(Tracker!L65),Tracker!L65,0))</f>
        <v>46249</v>
      </c>
      <c r="F64" s="180" t="n">
        <f aca="false">IF(ISNUMBER(Tracker!L65),Tracker!L65,IF(ISNUMBER(Tracker!K65),Tracker!K65,0))</f>
        <v>46295</v>
      </c>
      <c r="DU64" s="0" t="str">
        <f aca="false">Tracker!M65</f>
        <v>Not Started</v>
      </c>
    </row>
    <row r="65" customFormat="false" ht="15" hidden="false" customHeight="false" outlineLevel="1" collapsed="false">
      <c r="A65" s="179" t="str">
        <f aca="false">Tracker!F66</f>
        <v>CM.C4i.03.5</v>
      </c>
      <c r="B65" s="179" t="str">
        <f aca="false">Tracker!G66</f>
        <v>EOC and departmental coordination centre model V1</v>
      </c>
      <c r="C65" s="179" t="str">
        <f aca="false">TRIM(Tracker!D66)</f>
        <v>C4i</v>
      </c>
      <c r="D65" s="179" t="str">
        <f aca="false">IF(TRIM(Tracker!J66)="",Tracker!I66,Tracker!J66)</f>
        <v>Teymur</v>
      </c>
      <c r="E65" s="180" t="n">
        <f aca="false">IF(ISNUMBER(Tracker!K66),Tracker!K66,IF(ISNUMBER(Tracker!L66),Tracker!L66,0))</f>
        <v>46249</v>
      </c>
      <c r="F65" s="180" t="n">
        <f aca="false">IF(ISNUMBER(Tracker!L66),Tracker!L66,IF(ISNUMBER(Tracker!K66),Tracker!K66,0))</f>
        <v>46295</v>
      </c>
      <c r="DU65" s="0" t="str">
        <f aca="false">Tracker!M66</f>
        <v>Not Started</v>
      </c>
    </row>
    <row r="66" customFormat="false" ht="15" hidden="false" customHeight="false" outlineLevel="1" collapsed="false">
      <c r="A66" s="179" t="str">
        <f aca="false">Tracker!F67</f>
        <v>CM.C4i.03.6</v>
      </c>
      <c r="B66" s="179" t="str">
        <f aca="false">Tracker!G67</f>
        <v>MOC and EOC representation confirmed (departments, zones, seats)</v>
      </c>
      <c r="C66" s="179" t="str">
        <f aca="false">TRIM(Tracker!D67)</f>
        <v>C4i</v>
      </c>
      <c r="D66" s="179" t="str">
        <f aca="false">IF(TRIM(Tracker!J67)="",Tracker!I67,Tracker!J67)</f>
        <v>Teymur</v>
      </c>
      <c r="E66" s="180" t="n">
        <f aca="false">IF(ISNUMBER(Tracker!K67),Tracker!K67,IF(ISNUMBER(Tracker!L67),Tracker!L67,0))</f>
        <v>46266</v>
      </c>
      <c r="F66" s="180" t="n">
        <f aca="false">IF(ISNUMBER(Tracker!L67),Tracker!L67,IF(ISNUMBER(Tracker!K67),Tracker!K67,0))</f>
        <v>46310</v>
      </c>
      <c r="DU66" s="0" t="str">
        <f aca="false">Tracker!M67</f>
        <v>Not Started</v>
      </c>
    </row>
    <row r="67" customFormat="false" ht="15" hidden="false" customHeight="false" outlineLevel="1" collapsed="false">
      <c r="A67" s="179" t="str">
        <f aca="false">Tracker!F68</f>
        <v>CM.C4i.03.7</v>
      </c>
      <c r="B67" s="179" t="str">
        <f aca="false">Tracker!G68</f>
        <v>MOC staffing and shift model developed (full operating period)</v>
      </c>
      <c r="C67" s="179" t="str">
        <f aca="false">TRIM(Tracker!D68)</f>
        <v>C4i</v>
      </c>
      <c r="D67" s="179" t="str">
        <f aca="false">IF(TRIM(Tracker!J68)="",Tracker!I68,Tracker!J68)</f>
        <v>Teymur</v>
      </c>
      <c r="E67" s="180" t="n">
        <f aca="false">IF(ISNUMBER(Tracker!K68),Tracker!K68,IF(ISNUMBER(Tracker!L68),Tracker!L68,0))</f>
        <v>46266</v>
      </c>
      <c r="F67" s="180" t="n">
        <f aca="false">IF(ISNUMBER(Tracker!L68),Tracker!L68,IF(ISNUMBER(Tracker!K68),Tracker!K68,0))</f>
        <v>46376</v>
      </c>
      <c r="DU67" s="0" t="str">
        <f aca="false">Tracker!M68</f>
        <v>Not Started</v>
      </c>
    </row>
    <row r="68" customFormat="false" ht="15" hidden="false" customHeight="false" outlineLevel="1" collapsed="false">
      <c r="A68" s="179" t="str">
        <f aca="false">Tracker!F69</f>
        <v>CM.C4i.03.7.1</v>
      </c>
      <c r="B68" s="179" t="str">
        <f aca="false">Tracker!G69</f>
        <v>MOC position list and role cards drafted</v>
      </c>
      <c r="C68" s="179" t="str">
        <f aca="false">TRIM(Tracker!D69)</f>
        <v>C4i</v>
      </c>
      <c r="D68" s="179" t="str">
        <f aca="false">IF(TRIM(Tracker!J69)="",Tracker!I69,Tracker!J69)</f>
        <v>Teymur</v>
      </c>
      <c r="E68" s="180" t="n">
        <f aca="false">IF(ISNUMBER(Tracker!K69),Tracker!K69,IF(ISNUMBER(Tracker!L69),Tracker!L69,0))</f>
        <v>46266</v>
      </c>
      <c r="F68" s="180" t="n">
        <f aca="false">IF(ISNUMBER(Tracker!L69),Tracker!L69,IF(ISNUMBER(Tracker!K69),Tracker!K69,0))</f>
        <v>46310</v>
      </c>
      <c r="DU68" s="0" t="str">
        <f aca="false">Tracker!M69</f>
        <v>Not Started</v>
      </c>
    </row>
    <row r="69" customFormat="false" ht="15" hidden="false" customHeight="false" outlineLevel="1" collapsed="false">
      <c r="A69" s="179" t="str">
        <f aca="false">Tracker!F70</f>
        <v>CM.C4i.03.7.2</v>
      </c>
      <c r="B69" s="179" t="str">
        <f aca="false">Tracker!G70</f>
        <v>Shift pattern and rota modelled across the full operating period</v>
      </c>
      <c r="C69" s="179" t="str">
        <f aca="false">TRIM(Tracker!D70)</f>
        <v>C4i</v>
      </c>
      <c r="D69" s="179" t="str">
        <f aca="false">IF(TRIM(Tracker!J70)="",Tracker!I70,Tracker!J70)</f>
        <v>Teymur</v>
      </c>
      <c r="E69" s="180" t="n">
        <f aca="false">IF(ISNUMBER(Tracker!K70),Tracker!K70,IF(ISNUMBER(Tracker!L70),Tracker!L70,0))</f>
        <v>46296</v>
      </c>
      <c r="F69" s="180" t="n">
        <f aca="false">IF(ISNUMBER(Tracker!L70),Tracker!L70,IF(ISNUMBER(Tracker!K70),Tracker!K70,0))</f>
        <v>46341</v>
      </c>
      <c r="DU69" s="0" t="str">
        <f aca="false">Tracker!M70</f>
        <v>Not Started</v>
      </c>
    </row>
    <row r="70" customFormat="false" ht="15" hidden="false" customHeight="false" outlineLevel="1" collapsed="false">
      <c r="A70" s="179" t="str">
        <f aca="false">Tracker!F71</f>
        <v>CM.C4i.03.7.3</v>
      </c>
      <c r="B70" s="179" t="str">
        <f aca="false">Tracker!G71</f>
        <v>Fatigue, welfare and rotation model defined for sustained operations</v>
      </c>
      <c r="C70" s="179" t="str">
        <f aca="false">TRIM(Tracker!D71)</f>
        <v>C4i</v>
      </c>
      <c r="D70" s="179" t="str">
        <f aca="false">IF(TRIM(Tracker!J71)="",Tracker!I71,Tracker!J71)</f>
        <v>Teymur</v>
      </c>
      <c r="E70" s="180" t="n">
        <f aca="false">IF(ISNUMBER(Tracker!K71),Tracker!K71,IF(ISNUMBER(Tracker!L71),Tracker!L71,0))</f>
        <v>46310</v>
      </c>
      <c r="F70" s="180" t="n">
        <f aca="false">IF(ISNUMBER(Tracker!L71),Tracker!L71,IF(ISNUMBER(Tracker!K71),Tracker!K71,0))</f>
        <v>46356</v>
      </c>
      <c r="DU70" s="0" t="str">
        <f aca="false">Tracker!M71</f>
        <v>Not Started</v>
      </c>
    </row>
    <row r="71" customFormat="false" ht="15" hidden="false" customHeight="false" outlineLevel="1" collapsed="false">
      <c r="A71" s="179" t="str">
        <f aca="false">Tracker!F72</f>
        <v>CM.C4i.03.7.4</v>
      </c>
      <c r="B71" s="179" t="str">
        <f aca="false">Tracker!G72</f>
        <v>MOC headcount submitted into Workforce master plan</v>
      </c>
      <c r="C71" s="179" t="str">
        <f aca="false">TRIM(Tracker!D72)</f>
        <v>C4i</v>
      </c>
      <c r="D71" s="179" t="str">
        <f aca="false">IF(TRIM(Tracker!J72)="",Tracker!I72,Tracker!J72)</f>
        <v>Teymur</v>
      </c>
      <c r="E71" s="180" t="n">
        <f aca="false">IF(ISNUMBER(Tracker!K72),Tracker!K72,IF(ISNUMBER(Tracker!L72),Tracker!L72,0))</f>
        <v>46327</v>
      </c>
      <c r="F71" s="180" t="n">
        <f aca="false">IF(ISNUMBER(Tracker!L72),Tracker!L72,IF(ISNUMBER(Tracker!K72),Tracker!K72,0))</f>
        <v>46356</v>
      </c>
      <c r="DU71" s="0" t="str">
        <f aca="false">Tracker!M72</f>
        <v>Not Started</v>
      </c>
    </row>
    <row r="72" customFormat="false" ht="15" hidden="false" customHeight="false" outlineLevel="1" collapsed="false">
      <c r="A72" s="179" t="str">
        <f aca="false">Tracker!F73</f>
        <v>CM.C4i.03.7.5</v>
      </c>
      <c r="B72" s="179" t="str">
        <f aca="false">Tracker!G73</f>
        <v>MOC positions dot-planned and accreditation zones confirmed</v>
      </c>
      <c r="C72" s="179" t="str">
        <f aca="false">TRIM(Tracker!D73)</f>
        <v>C4i</v>
      </c>
      <c r="D72" s="179" t="str">
        <f aca="false">IF(TRIM(Tracker!J73)="",Tracker!I73,Tracker!J73)</f>
        <v>Teymur</v>
      </c>
      <c r="E72" s="180" t="n">
        <f aca="false">IF(ISNUMBER(Tracker!K73),Tracker!K73,IF(ISNUMBER(Tracker!L73),Tracker!L73,0))</f>
        <v>46296</v>
      </c>
      <c r="F72" s="180" t="n">
        <f aca="false">IF(ISNUMBER(Tracker!L73),Tracker!L73,IF(ISNUMBER(Tracker!K73),Tracker!K73,0))</f>
        <v>46324</v>
      </c>
      <c r="DU72" s="0" t="str">
        <f aca="false">Tracker!M73</f>
        <v>Not Started</v>
      </c>
    </row>
    <row r="73" customFormat="false" ht="15" hidden="false" customHeight="false" outlineLevel="1" collapsed="false">
      <c r="A73" s="179" t="str">
        <f aca="false">Tracker!F74</f>
        <v>CM.C4i.03.7.6</v>
      </c>
      <c r="B73" s="179" t="str">
        <f aca="false">Tracker!G74</f>
        <v>MOC and EOC structures reflected in ETOS</v>
      </c>
      <c r="C73" s="179" t="str">
        <f aca="false">TRIM(Tracker!D74)</f>
        <v>C4i</v>
      </c>
      <c r="D73" s="179" t="str">
        <f aca="false">IF(TRIM(Tracker!J74)="",Tracker!I74,Tracker!J74)</f>
        <v>Teymur</v>
      </c>
      <c r="E73" s="180" t="n">
        <f aca="false">IF(ISNUMBER(Tracker!K74),Tracker!K74,IF(ISNUMBER(Tracker!L74),Tracker!L74,0))</f>
        <v>46327</v>
      </c>
      <c r="F73" s="180" t="n">
        <f aca="false">IF(ISNUMBER(Tracker!L74),Tracker!L74,IF(ISNUMBER(Tracker!K74),Tracker!K74,0))</f>
        <v>46341</v>
      </c>
      <c r="DU73" s="0" t="str">
        <f aca="false">Tracker!M74</f>
        <v>Not Started</v>
      </c>
    </row>
    <row r="74" customFormat="false" ht="15" hidden="false" customHeight="false" outlineLevel="1" collapsed="false">
      <c r="A74" s="179" t="str">
        <f aca="false">Tracker!F75</f>
        <v>CM.C4i.03.8</v>
      </c>
      <c r="B74" s="179" t="str">
        <f aca="false">Tracker!G75</f>
        <v>MOC access, room discipline and visitor protocol defined</v>
      </c>
      <c r="C74" s="179" t="str">
        <f aca="false">TRIM(Tracker!D75)</f>
        <v>C4i</v>
      </c>
      <c r="D74" s="179" t="str">
        <f aca="false">IF(TRIM(Tracker!J75)="",Tracker!I75,Tracker!J75)</f>
        <v>Teymur</v>
      </c>
      <c r="E74" s="180" t="n">
        <f aca="false">IF(ISNUMBER(Tracker!K75),Tracker!K75,IF(ISNUMBER(Tracker!L75),Tracker!L75,0))</f>
        <v>46327</v>
      </c>
      <c r="F74" s="180" t="n">
        <f aca="false">IF(ISNUMBER(Tracker!L75),Tracker!L75,IF(ISNUMBER(Tracker!K75),Tracker!K75,0))</f>
        <v>46376</v>
      </c>
      <c r="DU74" s="0" t="str">
        <f aca="false">Tracker!M75</f>
        <v>Not Started</v>
      </c>
    </row>
    <row r="75" customFormat="false" ht="15" hidden="false" customHeight="false" outlineLevel="1" collapsed="false">
      <c r="A75" s="179" t="str">
        <f aca="false">Tracker!F76</f>
        <v>CM.C4i.03.9</v>
      </c>
      <c r="B75" s="179" t="str">
        <f aca="false">Tracker!G76</f>
        <v>MOC operating modes defined (Normal, Heightened, Incident, Crisis)</v>
      </c>
      <c r="C75" s="179" t="str">
        <f aca="false">TRIM(Tracker!D76)</f>
        <v>C4i</v>
      </c>
      <c r="D75" s="179" t="str">
        <f aca="false">IF(TRIM(Tracker!J76)="",Tracker!I76,Tracker!J76)</f>
        <v>Teymur</v>
      </c>
      <c r="E75" s="180" t="n">
        <f aca="false">IF(ISNUMBER(Tracker!K76),Tracker!K76,IF(ISNUMBER(Tracker!L76),Tracker!L76,0))</f>
        <v>46296</v>
      </c>
      <c r="F75" s="180" t="n">
        <f aca="false">IF(ISNUMBER(Tracker!L76),Tracker!L76,IF(ISNUMBER(Tracker!K76),Tracker!K76,0))</f>
        <v>46376</v>
      </c>
      <c r="DU75" s="0" t="str">
        <f aca="false">Tracker!M76</f>
        <v>Not Started</v>
      </c>
    </row>
    <row r="76" customFormat="false" ht="15" hidden="false" customHeight="false" outlineLevel="1" collapsed="false">
      <c r="A76" s="179" t="str">
        <f aca="false">Tracker!F77</f>
        <v>CM.C4i.03.10</v>
      </c>
      <c r="B76" s="179" t="str">
        <f aca="false">Tracker!G77</f>
        <v>MOC daily rhythm published</v>
      </c>
      <c r="C76" s="179" t="str">
        <f aca="false">TRIM(Tracker!D77)</f>
        <v>C4i</v>
      </c>
      <c r="D76" s="179" t="str">
        <f aca="false">IF(TRIM(Tracker!J77)="",Tracker!I77,Tracker!J77)</f>
        <v>Teymur</v>
      </c>
      <c r="E76" s="180" t="n">
        <f aca="false">IF(ISNUMBER(Tracker!K77),Tracker!K77,IF(ISNUMBER(Tracker!L77),Tracker!L77,0))</f>
        <v>46357</v>
      </c>
      <c r="F76" s="180" t="n">
        <f aca="false">IF(ISNUMBER(Tracker!L77),Tracker!L77,IF(ISNUMBER(Tracker!K77),Tracker!K77,0))</f>
        <v>46428</v>
      </c>
      <c r="DU76" s="0" t="str">
        <f aca="false">Tracker!M77</f>
        <v>Not Started</v>
      </c>
    </row>
    <row r="77" customFormat="false" ht="15" hidden="false" customHeight="false" outlineLevel="1" collapsed="false">
      <c r="A77" s="179" t="str">
        <f aca="false">Tracker!F78</f>
        <v>CM.C4i.03.11</v>
      </c>
      <c r="B77" s="179" t="str">
        <f aca="false">Tracker!G78</f>
        <v>MOC welfare, catering and sustainment arrangements confirmed</v>
      </c>
      <c r="C77" s="179" t="str">
        <f aca="false">TRIM(Tracker!D78)</f>
        <v>C4i</v>
      </c>
      <c r="D77" s="179" t="str">
        <f aca="false">IF(TRIM(Tracker!J78)="",Tracker!I78,Tracker!J78)</f>
        <v>Teymur</v>
      </c>
      <c r="E77" s="180" t="n">
        <f aca="false">IF(ISNUMBER(Tracker!K78),Tracker!K78,IF(ISNUMBER(Tracker!L78),Tracker!L78,0))</f>
        <v>46357</v>
      </c>
      <c r="F77" s="180" t="n">
        <f aca="false">IF(ISNUMBER(Tracker!L78),Tracker!L78,IF(ISNUMBER(Tracker!K78),Tracker!K78,0))</f>
        <v>46418</v>
      </c>
      <c r="DU77" s="0" t="str">
        <f aca="false">Tracker!M78</f>
        <v>Not Started</v>
      </c>
    </row>
    <row r="78" customFormat="false" ht="15" hidden="false" customHeight="false" outlineLevel="1" collapsed="false">
      <c r="A78" s="179" t="str">
        <f aca="false">Tracker!F79</f>
        <v>CM.C4i.03.12</v>
      </c>
      <c r="B78" s="179" t="str">
        <f aca="false">Tracker!G79</f>
        <v>MOC and EOC Operating Model (Final) approved</v>
      </c>
      <c r="C78" s="179" t="str">
        <f aca="false">TRIM(Tracker!D79)</f>
        <v>C4i</v>
      </c>
      <c r="D78" s="179" t="str">
        <f aca="false">IF(TRIM(Tracker!J79)="",Tracker!I79,Tracker!J79)</f>
        <v>Teymur</v>
      </c>
      <c r="E78" s="180" t="n">
        <f aca="false">IF(ISNUMBER(Tracker!K79),Tracker!K79,IF(ISNUMBER(Tracker!L79),Tracker!L79,0))</f>
        <v>46392</v>
      </c>
      <c r="F78" s="180" t="n">
        <f aca="false">IF(ISNUMBER(Tracker!L79),Tracker!L79,IF(ISNUMBER(Tracker!K79),Tracker!K79,0))</f>
        <v>46428</v>
      </c>
      <c r="DU78" s="0" t="str">
        <f aca="false">Tracker!M79</f>
        <v>Not Started</v>
      </c>
    </row>
    <row r="79" customFormat="false" ht="15" hidden="false" customHeight="false" outlineLevel="1" collapsed="false">
      <c r="A79" s="179" t="str">
        <f aca="false">Tracker!F80</f>
        <v>CM.C4i.04</v>
      </c>
      <c r="B79" s="179" t="str">
        <f aca="false">Tracker!G80</f>
        <v>Command, Decision-Making &amp; Escalation Frameworks</v>
      </c>
      <c r="C79" s="179" t="str">
        <f aca="false">TRIM(Tracker!D80)</f>
        <v>C4i</v>
      </c>
      <c r="D79" s="179" t="str">
        <f aca="false">IF(TRIM(Tracker!J80)="",Tracker!I80,Tracker!J80)</f>
        <v>Teymur</v>
      </c>
      <c r="E79" s="180" t="n">
        <f aca="false">IF(ISNUMBER(Tracker!K80),Tracker!K80,IF(ISNUMBER(Tracker!L80),Tracker!L80,0))</f>
        <v>46266</v>
      </c>
      <c r="F79" s="180" t="n">
        <f aca="false">IF(ISNUMBER(Tracker!L80),Tracker!L80,IF(ISNUMBER(Tracker!K80),Tracker!K80,0))</f>
        <v>46446</v>
      </c>
      <c r="DU79" s="0" t="str">
        <f aca="false">Tracker!M80</f>
        <v>Not Started</v>
      </c>
    </row>
    <row r="80" customFormat="false" ht="15" hidden="false" customHeight="false" outlineLevel="1" collapsed="false">
      <c r="A80" s="179" t="str">
        <f aca="false">Tracker!F81</f>
        <v>CM.C4i.04.1</v>
      </c>
      <c r="B80" s="179" t="str">
        <f aca="false">Tracker!G81</f>
        <v>Delegations of authority and decision thresholds defined</v>
      </c>
      <c r="C80" s="179" t="str">
        <f aca="false">TRIM(Tracker!D81)</f>
        <v>C4i</v>
      </c>
      <c r="D80" s="179" t="str">
        <f aca="false">IF(TRIM(Tracker!J81)="",Tracker!I81,Tracker!J81)</f>
        <v>Teymur</v>
      </c>
      <c r="E80" s="180" t="n">
        <f aca="false">IF(ISNUMBER(Tracker!K81),Tracker!K81,IF(ISNUMBER(Tracker!L81),Tracker!L81,0))</f>
        <v>46266</v>
      </c>
      <c r="F80" s="180" t="n">
        <f aca="false">IF(ISNUMBER(Tracker!L81),Tracker!L81,IF(ISNUMBER(Tracker!K81),Tracker!K81,0))</f>
        <v>46326</v>
      </c>
      <c r="DU80" s="0" t="str">
        <f aca="false">Tracker!M81</f>
        <v>Not Started</v>
      </c>
    </row>
    <row r="81" customFormat="false" ht="15" hidden="false" customHeight="false" outlineLevel="1" collapsed="false">
      <c r="A81" s="179" t="str">
        <f aca="false">Tracker!F82</f>
        <v>CM.C4i.04.1.1</v>
      </c>
      <c r="B81" s="179" t="str">
        <f aca="false">Tracker!G82</f>
        <v>Decision inventory built</v>
      </c>
      <c r="C81" s="179" t="str">
        <f aca="false">TRIM(Tracker!D82)</f>
        <v>C4i</v>
      </c>
      <c r="D81" s="179" t="str">
        <f aca="false">IF(TRIM(Tracker!J82)="",Tracker!I82,Tracker!J82)</f>
        <v>Teymur</v>
      </c>
      <c r="E81" s="180" t="n">
        <f aca="false">IF(ISNUMBER(Tracker!K82),Tracker!K82,IF(ISNUMBER(Tracker!L82),Tracker!L82,0))</f>
        <v>46266</v>
      </c>
      <c r="F81" s="180" t="n">
        <f aca="false">IF(ISNUMBER(Tracker!L82),Tracker!L82,IF(ISNUMBER(Tracker!K82),Tracker!K82,0))</f>
        <v>46295</v>
      </c>
      <c r="DU81" s="0" t="str">
        <f aca="false">Tracker!M82</f>
        <v>Not Started</v>
      </c>
    </row>
    <row r="82" customFormat="false" ht="15" hidden="false" customHeight="false" outlineLevel="1" collapsed="false">
      <c r="A82" s="179" t="str">
        <f aca="false">Tracker!F83</f>
        <v>CM.C4i.04.1.2</v>
      </c>
      <c r="B82" s="179" t="str">
        <f aca="false">Tracker!G83</f>
        <v>Thresholds and delegation levels assigned by tier</v>
      </c>
      <c r="C82" s="179" t="str">
        <f aca="false">TRIM(Tracker!D83)</f>
        <v>C4i</v>
      </c>
      <c r="D82" s="179" t="str">
        <f aca="false">IF(TRIM(Tracker!J83)="",Tracker!I83,Tracker!J83)</f>
        <v>Teymur</v>
      </c>
      <c r="E82" s="180" t="n">
        <f aca="false">IF(ISNUMBER(Tracker!K83),Tracker!K83,IF(ISNUMBER(Tracker!L83),Tracker!L83,0))</f>
        <v>46285</v>
      </c>
      <c r="F82" s="180" t="n">
        <f aca="false">IF(ISNUMBER(Tracker!L83),Tracker!L83,IF(ISNUMBER(Tracker!K83),Tracker!K83,0))</f>
        <v>46315</v>
      </c>
      <c r="DU82" s="0" t="str">
        <f aca="false">Tracker!M83</f>
        <v>Not Started</v>
      </c>
    </row>
    <row r="83" customFormat="false" ht="15" hidden="false" customHeight="false" outlineLevel="1" collapsed="false">
      <c r="A83" s="179" t="str">
        <f aca="false">Tracker!F84</f>
        <v>CM.C4i.04.1.3</v>
      </c>
      <c r="B83" s="179" t="str">
        <f aca="false">Tracker!G84</f>
        <v>Off-hours and degraded-mode delegations defined</v>
      </c>
      <c r="C83" s="179" t="str">
        <f aca="false">TRIM(Tracker!D84)</f>
        <v>C4i</v>
      </c>
      <c r="D83" s="179" t="str">
        <f aca="false">IF(TRIM(Tracker!J84)="",Tracker!I84,Tracker!J84)</f>
        <v>Teymur</v>
      </c>
      <c r="E83" s="180" t="n">
        <f aca="false">IF(ISNUMBER(Tracker!K84),Tracker!K84,IF(ISNUMBER(Tracker!L84),Tracker!L84,0))</f>
        <v>46296</v>
      </c>
      <c r="F83" s="180" t="n">
        <f aca="false">IF(ISNUMBER(Tracker!L84),Tracker!L84,IF(ISNUMBER(Tracker!K84),Tracker!K84,0))</f>
        <v>46326</v>
      </c>
      <c r="DU83" s="0" t="str">
        <f aca="false">Tracker!M84</f>
        <v>Not Started</v>
      </c>
    </row>
    <row r="84" customFormat="false" ht="15" hidden="false" customHeight="false" outlineLevel="1" collapsed="false">
      <c r="A84" s="179" t="str">
        <f aca="false">Tracker!F85</f>
        <v>CM.C4i.04.2</v>
      </c>
      <c r="B84" s="179" t="str">
        <f aca="false">Tracker!G85</f>
        <v>Political tier routing defined (Rights Holder and Host State lanes)</v>
      </c>
      <c r="C84" s="179" t="str">
        <f aca="false">TRIM(Tracker!D85)</f>
        <v>C4i</v>
      </c>
      <c r="D84" s="179" t="str">
        <f aca="false">IF(TRIM(Tracker!J85)="",Tracker!I85,Tracker!J85)</f>
        <v>Teymur</v>
      </c>
      <c r="E84" s="180" t="n">
        <f aca="false">IF(ISNUMBER(Tracker!K85),Tracker!K85,IF(ISNUMBER(Tracker!L85),Tracker!L85,0))</f>
        <v>46296</v>
      </c>
      <c r="F84" s="180" t="n">
        <f aca="false">IF(ISNUMBER(Tracker!L85),Tracker!L85,IF(ISNUMBER(Tracker!K85),Tracker!K85,0))</f>
        <v>46356</v>
      </c>
      <c r="DU84" s="0" t="str">
        <f aca="false">Tracker!M85</f>
        <v>Not Started</v>
      </c>
    </row>
    <row r="85" customFormat="false" ht="15" hidden="false" customHeight="false" outlineLevel="1" collapsed="false">
      <c r="A85" s="179" t="str">
        <f aca="false">Tracker!F86</f>
        <v>CM.C4i.04.3</v>
      </c>
      <c r="B85" s="179" t="str">
        <f aca="false">Tracker!G86</f>
        <v>Authority matrix and escalation pathways approved</v>
      </c>
      <c r="C85" s="179" t="str">
        <f aca="false">TRIM(Tracker!D86)</f>
        <v>C4i</v>
      </c>
      <c r="D85" s="179" t="str">
        <f aca="false">IF(TRIM(Tracker!J86)="",Tracker!I86,Tracker!J86)</f>
        <v>Teymur</v>
      </c>
      <c r="E85" s="180" t="n">
        <f aca="false">IF(ISNUMBER(Tracker!K86),Tracker!K86,IF(ISNUMBER(Tracker!L86),Tracker!L86,0))</f>
        <v>46296</v>
      </c>
      <c r="F85" s="180" t="n">
        <f aca="false">IF(ISNUMBER(Tracker!L86),Tracker!L86,IF(ISNUMBER(Tracker!K86),Tracker!K86,0))</f>
        <v>46356</v>
      </c>
      <c r="DU85" s="0" t="str">
        <f aca="false">Tracker!M86</f>
        <v>Not Started</v>
      </c>
    </row>
    <row r="86" customFormat="false" ht="15" hidden="false" customHeight="false" outlineLevel="1" collapsed="false">
      <c r="A86" s="179" t="str">
        <f aca="false">Tracker!F87</f>
        <v>CM.C4i.04.4</v>
      </c>
      <c r="B86" s="179" t="str">
        <f aca="false">Tracker!G87</f>
        <v>Issue resolution and risk escalation framework published</v>
      </c>
      <c r="C86" s="179" t="str">
        <f aca="false">TRIM(Tracker!D87)</f>
        <v>C4i</v>
      </c>
      <c r="D86" s="179" t="str">
        <f aca="false">IF(TRIM(Tracker!J87)="",Tracker!I87,Tracker!J87)</f>
        <v>Teymur</v>
      </c>
      <c r="E86" s="180" t="n">
        <f aca="false">IF(ISNUMBER(Tracker!K87),Tracker!K87,IF(ISNUMBER(Tracker!L87),Tracker!L87,0))</f>
        <v>46327</v>
      </c>
      <c r="F86" s="180" t="n">
        <f aca="false">IF(ISNUMBER(Tracker!L87),Tracker!L87,IF(ISNUMBER(Tracker!K87),Tracker!K87,0))</f>
        <v>46387</v>
      </c>
      <c r="DU86" s="0" t="str">
        <f aca="false">Tracker!M87</f>
        <v>Not Started</v>
      </c>
    </row>
    <row r="87" customFormat="false" ht="15" hidden="false" customHeight="false" outlineLevel="1" collapsed="false">
      <c r="A87" s="179" t="str">
        <f aca="false">Tracker!F88</f>
        <v>CM.C4i.04.5</v>
      </c>
      <c r="B87" s="179" t="str">
        <f aca="false">Tracker!G88</f>
        <v>Departmental escalation routes mapped and reconciled</v>
      </c>
      <c r="C87" s="179" t="str">
        <f aca="false">TRIM(Tracker!D88)</f>
        <v>C4i</v>
      </c>
      <c r="D87" s="179" t="str">
        <f aca="false">IF(TRIM(Tracker!J88)="",Tracker!I88,Tracker!J88)</f>
        <v>Teymur</v>
      </c>
      <c r="E87" s="180" t="n">
        <f aca="false">IF(ISNUMBER(Tracker!K88),Tracker!K88,IF(ISNUMBER(Tracker!L88),Tracker!L88,0))</f>
        <v>46296</v>
      </c>
      <c r="F87" s="180" t="n">
        <f aca="false">IF(ISNUMBER(Tracker!L88),Tracker!L88,IF(ISNUMBER(Tracker!K88),Tracker!K88,0))</f>
        <v>46387</v>
      </c>
      <c r="DU87" s="0" t="str">
        <f aca="false">Tracker!M88</f>
        <v>Not Started</v>
      </c>
    </row>
    <row r="88" customFormat="false" ht="15" hidden="false" customHeight="false" outlineLevel="1" collapsed="false">
      <c r="A88" s="179" t="str">
        <f aca="false">Tracker!F89</f>
        <v>CM.C4i.04.6</v>
      </c>
      <c r="B88" s="179" t="str">
        <f aca="false">Tracker!G89</f>
        <v>C4i to crisis management interface defined</v>
      </c>
      <c r="C88" s="179" t="str">
        <f aca="false">TRIM(Tracker!D89)</f>
        <v>C4i</v>
      </c>
      <c r="D88" s="179" t="str">
        <f aca="false">IF(TRIM(Tracker!J89)="",Tracker!I89,Tracker!J89)</f>
        <v>Teymur</v>
      </c>
      <c r="E88" s="180" t="n">
        <f aca="false">IF(ISNUMBER(Tracker!K89),Tracker!K89,IF(ISNUMBER(Tracker!L89),Tracker!L89,0))</f>
        <v>46327</v>
      </c>
      <c r="F88" s="180" t="n">
        <f aca="false">IF(ISNUMBER(Tracker!L89),Tracker!L89,IF(ISNUMBER(Tracker!K89),Tracker!K89,0))</f>
        <v>46418</v>
      </c>
      <c r="DU88" s="0" t="str">
        <f aca="false">Tracker!M89</f>
        <v>Not Started</v>
      </c>
    </row>
    <row r="89" customFormat="false" ht="15" hidden="false" customHeight="false" outlineLevel="1" collapsed="false">
      <c r="A89" s="179" t="str">
        <f aca="false">Tracker!F90</f>
        <v>CM.C4i.04.7</v>
      </c>
      <c r="B89" s="179" t="str">
        <f aca="false">Tracker!G90</f>
        <v>Scenario-based validation of decision thresholds complete</v>
      </c>
      <c r="C89" s="179" t="str">
        <f aca="false">TRIM(Tracker!D90)</f>
        <v>C4i</v>
      </c>
      <c r="D89" s="179" t="str">
        <f aca="false">IF(TRIM(Tracker!J90)="",Tracker!I90,Tracker!J90)</f>
        <v>Teymur</v>
      </c>
      <c r="E89" s="180" t="n">
        <f aca="false">IF(ISNUMBER(Tracker!K90),Tracker!K90,IF(ISNUMBER(Tracker!L90),Tracker!L90,0))</f>
        <v>46402</v>
      </c>
      <c r="F89" s="180" t="n">
        <f aca="false">IF(ISNUMBER(Tracker!L90),Tracker!L90,IF(ISNUMBER(Tracker!K90),Tracker!K90,0))</f>
        <v>46446</v>
      </c>
      <c r="DU89" s="0" t="str">
        <f aca="false">Tracker!M90</f>
        <v>Not Started</v>
      </c>
    </row>
    <row r="90" customFormat="false" ht="15" hidden="false" customHeight="false" outlineLevel="1" collapsed="false">
      <c r="A90" s="179" t="str">
        <f aca="false">Tracker!F91</f>
        <v>CM.C4i.05</v>
      </c>
      <c r="B90" s="179" t="str">
        <f aca="false">Tracker!G91</f>
        <v>Communications &amp; Information Management Frameworks</v>
      </c>
      <c r="C90" s="179" t="str">
        <f aca="false">TRIM(Tracker!D91)</f>
        <v>C4i</v>
      </c>
      <c r="D90" s="179" t="str">
        <f aca="false">IF(TRIM(Tracker!J91)="",Tracker!I91,Tracker!J91)</f>
        <v>Teymur</v>
      </c>
      <c r="E90" s="180" t="n">
        <f aca="false">IF(ISNUMBER(Tracker!K91),Tracker!K91,IF(ISNUMBER(Tracker!L91),Tracker!L91,0))</f>
        <v>46249</v>
      </c>
      <c r="F90" s="180" t="n">
        <f aca="false">IF(ISNUMBER(Tracker!L91),Tracker!L91,IF(ISNUMBER(Tracker!K91),Tracker!K91,0))</f>
        <v>46433</v>
      </c>
      <c r="DU90" s="0" t="str">
        <f aca="false">Tracker!M91</f>
        <v>Not Started</v>
      </c>
    </row>
    <row r="91" customFormat="false" ht="15" hidden="false" customHeight="false" outlineLevel="1" collapsed="false">
      <c r="A91" s="179" t="str">
        <f aca="false">Tracker!F92</f>
        <v>CM.C4i.05.1</v>
      </c>
      <c r="B91" s="179" t="str">
        <f aca="false">Tracker!G92</f>
        <v>Incident logging and reporting requirements issued to IMS supplier</v>
      </c>
      <c r="C91" s="179" t="str">
        <f aca="false">TRIM(Tracker!D92)</f>
        <v>C4i</v>
      </c>
      <c r="D91" s="179" t="str">
        <f aca="false">IF(TRIM(Tracker!J92)="",Tracker!I92,Tracker!J92)</f>
        <v>Teymur</v>
      </c>
      <c r="E91" s="180" t="n">
        <f aca="false">IF(ISNUMBER(Tracker!K92),Tracker!K92,IF(ISNUMBER(Tracker!L92),Tracker!L92,0))</f>
        <v>46249</v>
      </c>
      <c r="F91" s="180" t="n">
        <f aca="false">IF(ISNUMBER(Tracker!L92),Tracker!L92,IF(ISNUMBER(Tracker!K92),Tracker!K92,0))</f>
        <v>46295</v>
      </c>
      <c r="DU91" s="0" t="str">
        <f aca="false">Tracker!M92</f>
        <v>On Track</v>
      </c>
    </row>
    <row r="92" customFormat="false" ht="15" hidden="false" customHeight="false" outlineLevel="1" collapsed="false">
      <c r="A92" s="179" t="str">
        <f aca="false">Tracker!F93</f>
        <v>CM.C4i.05.1.1</v>
      </c>
      <c r="B92" s="179" t="str">
        <f aca="false">Tracker!G93</f>
        <v>Incident categories and severity scale defined</v>
      </c>
      <c r="C92" s="179" t="str">
        <f aca="false">TRIM(Tracker!D93)</f>
        <v>C4i</v>
      </c>
      <c r="D92" s="179" t="str">
        <f aca="false">IF(TRIM(Tracker!J93)="",Tracker!I93,Tracker!J93)</f>
        <v>Teymur</v>
      </c>
      <c r="E92" s="180" t="n">
        <f aca="false">IF(ISNUMBER(Tracker!K93),Tracker!K93,IF(ISNUMBER(Tracker!L93),Tracker!L93,0))</f>
        <v>46249</v>
      </c>
      <c r="F92" s="180" t="n">
        <f aca="false">IF(ISNUMBER(Tracker!L93),Tracker!L93,IF(ISNUMBER(Tracker!K93),Tracker!K93,0))</f>
        <v>46275</v>
      </c>
      <c r="DU92" s="0" t="str">
        <f aca="false">Tracker!M93</f>
        <v>On Track</v>
      </c>
    </row>
    <row r="93" customFormat="false" ht="15" hidden="false" customHeight="false" outlineLevel="1" collapsed="false">
      <c r="A93" s="179" t="str">
        <f aca="false">Tracker!F94</f>
        <v>CM.C4i.05.1.2</v>
      </c>
      <c r="B93" s="179" t="str">
        <f aca="false">Tracker!G94</f>
        <v>Logging workflow, ownership and audit rules defined</v>
      </c>
      <c r="C93" s="179" t="str">
        <f aca="false">TRIM(Tracker!D94)</f>
        <v>C4i</v>
      </c>
      <c r="D93" s="179" t="str">
        <f aca="false">IF(TRIM(Tracker!J94)="",Tracker!I94,Tracker!J94)</f>
        <v>Teymur</v>
      </c>
      <c r="E93" s="180" t="n">
        <f aca="false">IF(ISNUMBER(Tracker!K94),Tracker!K94,IF(ISNUMBER(Tracker!L94),Tracker!L94,0))</f>
        <v>46266</v>
      </c>
      <c r="F93" s="180" t="n">
        <f aca="false">IF(ISNUMBER(Tracker!L94),Tracker!L94,IF(ISNUMBER(Tracker!K94),Tracker!K94,0))</f>
        <v>46290</v>
      </c>
      <c r="DU93" s="0" t="str">
        <f aca="false">Tracker!M94</f>
        <v>Not Started</v>
      </c>
    </row>
    <row r="94" customFormat="false" ht="15" hidden="false" customHeight="false" outlineLevel="1" collapsed="false">
      <c r="A94" s="179" t="str">
        <f aca="false">Tracker!F95</f>
        <v>CM.C4i.05.1.3</v>
      </c>
      <c r="B94" s="179" t="str">
        <f aca="false">Tracker!G95</f>
        <v>Requirements pack issued to IMS and Technology</v>
      </c>
      <c r="C94" s="179" t="str">
        <f aca="false">TRIM(Tracker!D95)</f>
        <v>C4i</v>
      </c>
      <c r="D94" s="179" t="str">
        <f aca="false">IF(TRIM(Tracker!J95)="",Tracker!I95,Tracker!J95)</f>
        <v>Teymur</v>
      </c>
      <c r="E94" s="180" t="n">
        <f aca="false">IF(ISNUMBER(Tracker!K95),Tracker!K95,IF(ISNUMBER(Tracker!L95),Tracker!L95,0))</f>
        <v>46285</v>
      </c>
      <c r="F94" s="180" t="n">
        <f aca="false">IF(ISNUMBER(Tracker!L95),Tracker!L95,IF(ISNUMBER(Tracker!K95),Tracker!K95,0))</f>
        <v>46295</v>
      </c>
      <c r="DU94" s="0" t="str">
        <f aca="false">Tracker!M95</f>
        <v>Not Started</v>
      </c>
    </row>
    <row r="95" customFormat="false" ht="15" hidden="false" customHeight="false" outlineLevel="1" collapsed="false">
      <c r="A95" s="179" t="str">
        <f aca="false">Tracker!F96</f>
        <v>CM.C4i.05.2</v>
      </c>
      <c r="B95" s="179" t="str">
        <f aca="false">Tracker!G96</f>
        <v>Common Operating Picture requirements defined</v>
      </c>
      <c r="C95" s="179" t="str">
        <f aca="false">TRIM(Tracker!D96)</f>
        <v>C4i</v>
      </c>
      <c r="D95" s="179" t="str">
        <f aca="false">IF(TRIM(Tracker!J96)="",Tracker!I96,Tracker!J96)</f>
        <v>Teymur</v>
      </c>
      <c r="E95" s="180" t="n">
        <f aca="false">IF(ISNUMBER(Tracker!K96),Tracker!K96,IF(ISNUMBER(Tracker!L96),Tracker!L96,0))</f>
        <v>46280</v>
      </c>
      <c r="F95" s="180" t="n">
        <f aca="false">IF(ISNUMBER(Tracker!L96),Tracker!L96,IF(ISNUMBER(Tracker!K96),Tracker!K96,0))</f>
        <v>46326</v>
      </c>
      <c r="DU95" s="0" t="str">
        <f aca="false">Tracker!M96</f>
        <v>Not Started</v>
      </c>
    </row>
    <row r="96" customFormat="false" ht="15" hidden="false" customHeight="false" outlineLevel="1" collapsed="false">
      <c r="A96" s="179" t="str">
        <f aca="false">Tracker!F97</f>
        <v>CM.C4i.05.3</v>
      </c>
      <c r="B96" s="179" t="str">
        <f aca="false">Tracker!G97</f>
        <v>C4i communication protocols defined (internal and external)</v>
      </c>
      <c r="C96" s="179" t="str">
        <f aca="false">TRIM(Tracker!D97)</f>
        <v>C4i</v>
      </c>
      <c r="D96" s="179" t="str">
        <f aca="false">IF(TRIM(Tracker!J97)="",Tracker!I97,Tracker!J97)</f>
        <v>Teymur</v>
      </c>
      <c r="E96" s="180" t="n">
        <f aca="false">IF(ISNUMBER(Tracker!K97),Tracker!K97,IF(ISNUMBER(Tracker!L97),Tracker!L97,0))</f>
        <v>46296</v>
      </c>
      <c r="F96" s="180" t="n">
        <f aca="false">IF(ISNUMBER(Tracker!L97),Tracker!L97,IF(ISNUMBER(Tracker!K97),Tracker!K97,0))</f>
        <v>46356</v>
      </c>
      <c r="DU96" s="0" t="str">
        <f aca="false">Tracker!M97</f>
        <v>Not Started</v>
      </c>
    </row>
    <row r="97" customFormat="false" ht="15" hidden="false" customHeight="false" outlineLevel="1" collapsed="false">
      <c r="A97" s="179" t="str">
        <f aca="false">Tracker!F98</f>
        <v>CM.C4i.05.3.1</v>
      </c>
      <c r="B97" s="179" t="str">
        <f aca="false">Tracker!G98</f>
        <v>Channel, callsign and voice procedure conventions issued</v>
      </c>
      <c r="C97" s="179" t="str">
        <f aca="false">TRIM(Tracker!D98)</f>
        <v>C4i</v>
      </c>
      <c r="D97" s="179" t="str">
        <f aca="false">IF(TRIM(Tracker!J98)="",Tracker!I98,Tracker!J98)</f>
        <v>Teymur</v>
      </c>
      <c r="E97" s="180" t="n">
        <f aca="false">IF(ISNUMBER(Tracker!K98),Tracker!K98,IF(ISNUMBER(Tracker!L98),Tracker!L98,0))</f>
        <v>46310</v>
      </c>
      <c r="F97" s="180" t="n">
        <f aca="false">IF(ISNUMBER(Tracker!L98),Tracker!L98,IF(ISNUMBER(Tracker!K98),Tracker!K98,0))</f>
        <v>46356</v>
      </c>
      <c r="DU97" s="0" t="str">
        <f aca="false">Tracker!M98</f>
        <v>Not Started</v>
      </c>
    </row>
    <row r="98" customFormat="false" ht="15" hidden="false" customHeight="false" outlineLevel="1" collapsed="false">
      <c r="A98" s="179" t="str">
        <f aca="false">Tracker!F99</f>
        <v>CM.C4i.05.4</v>
      </c>
      <c r="B98" s="179" t="str">
        <f aca="false">Tracker!G99</f>
        <v>SITREP templates and reporting cadence approved</v>
      </c>
      <c r="C98" s="179" t="str">
        <f aca="false">TRIM(Tracker!D99)</f>
        <v>C4i</v>
      </c>
      <c r="D98" s="179" t="str">
        <f aca="false">IF(TRIM(Tracker!J99)="",Tracker!I99,Tracker!J99)</f>
        <v>Teymur</v>
      </c>
      <c r="E98" s="180" t="n">
        <f aca="false">IF(ISNUMBER(Tracker!K99),Tracker!K99,IF(ISNUMBER(Tracker!L99),Tracker!L99,0))</f>
        <v>46327</v>
      </c>
      <c r="F98" s="180" t="n">
        <f aca="false">IF(ISNUMBER(Tracker!L99),Tracker!L99,IF(ISNUMBER(Tracker!K99),Tracker!K99,0))</f>
        <v>46387</v>
      </c>
      <c r="DU98" s="0" t="str">
        <f aca="false">Tracker!M99</f>
        <v>Not Started</v>
      </c>
    </row>
    <row r="99" customFormat="false" ht="15" hidden="false" customHeight="false" outlineLevel="1" collapsed="false">
      <c r="A99" s="179" t="str">
        <f aca="false">Tracker!F100</f>
        <v>CM.C4i.05.5</v>
      </c>
      <c r="B99" s="179" t="str">
        <f aca="false">Tracker!G100</f>
        <v>MOC to Communications and public information interface agreed</v>
      </c>
      <c r="C99" s="179" t="str">
        <f aca="false">TRIM(Tracker!D100)</f>
        <v>C4i</v>
      </c>
      <c r="D99" s="179" t="str">
        <f aca="false">IF(TRIM(Tracker!J100)="",Tracker!I100,Tracker!J100)</f>
        <v>Teymur</v>
      </c>
      <c r="E99" s="180" t="n">
        <f aca="false">IF(ISNUMBER(Tracker!K100),Tracker!K100,IF(ISNUMBER(Tracker!L100),Tracker!L100,0))</f>
        <v>46327</v>
      </c>
      <c r="F99" s="180" t="n">
        <f aca="false">IF(ISNUMBER(Tracker!L100),Tracker!L100,IF(ISNUMBER(Tracker!K100),Tracker!K100,0))</f>
        <v>46418</v>
      </c>
      <c r="DU99" s="0" t="str">
        <f aca="false">Tracker!M100</f>
        <v>Not Started</v>
      </c>
    </row>
    <row r="100" customFormat="false" ht="15" hidden="false" customHeight="false" outlineLevel="1" collapsed="false">
      <c r="A100" s="179" t="str">
        <f aca="false">Tracker!F101</f>
        <v>CM.C4i.05.6</v>
      </c>
      <c r="B100" s="179" t="str">
        <f aca="false">Tracker!G101</f>
        <v>Information management, records and retention requirements defined</v>
      </c>
      <c r="C100" s="179" t="str">
        <f aca="false">TRIM(Tracker!D101)</f>
        <v>C4i</v>
      </c>
      <c r="D100" s="179" t="str">
        <f aca="false">IF(TRIM(Tracker!J101)="",Tracker!I101,Tracker!J101)</f>
        <v>Teymur</v>
      </c>
      <c r="E100" s="180" t="n">
        <f aca="false">IF(ISNUMBER(Tracker!K101),Tracker!K101,IF(ISNUMBER(Tracker!L101),Tracker!L101,0))</f>
        <v>46357</v>
      </c>
      <c r="F100" s="180" t="n">
        <f aca="false">IF(ISNUMBER(Tracker!L101),Tracker!L101,IF(ISNUMBER(Tracker!K101),Tracker!K101,0))</f>
        <v>46418</v>
      </c>
      <c r="DU100" s="0" t="str">
        <f aca="false">Tracker!M101</f>
        <v>Not Started</v>
      </c>
    </row>
    <row r="101" customFormat="false" ht="15" hidden="false" customHeight="false" outlineLevel="1" collapsed="false">
      <c r="A101" s="179" t="str">
        <f aca="false">Tracker!F102</f>
        <v>CM.C4i.05.7</v>
      </c>
      <c r="B101" s="179" t="str">
        <f aca="false">Tracker!G102</f>
        <v>Org-wide radio fleetmap developed and issued for programming</v>
      </c>
      <c r="C101" s="179" t="str">
        <f aca="false">TRIM(Tracker!D102)</f>
        <v>C4i</v>
      </c>
      <c r="D101" s="179" t="str">
        <f aca="false">IF(TRIM(Tracker!J102)="",Tracker!I102,Tracker!J102)</f>
        <v>Teymur</v>
      </c>
      <c r="E101" s="180" t="n">
        <f aca="false">IF(ISNUMBER(Tracker!K102),Tracker!K102,IF(ISNUMBER(Tracker!L102),Tracker!L102,0))</f>
        <v>46249</v>
      </c>
      <c r="F101" s="180" t="n">
        <f aca="false">IF(ISNUMBER(Tracker!L102),Tracker!L102,IF(ISNUMBER(Tracker!K102),Tracker!K102,0))</f>
        <v>46446</v>
      </c>
      <c r="DU101" s="0" t="str">
        <f aca="false">Tracker!M102</f>
        <v>Not Started</v>
      </c>
    </row>
    <row r="102" customFormat="false" ht="15" hidden="false" customHeight="false" outlineLevel="1" collapsed="false">
      <c r="A102" s="179" t="str">
        <f aca="false">Tracker!F103</f>
        <v>CM.C4i.05.7.1</v>
      </c>
      <c r="B102" s="179" t="str">
        <f aca="false">Tracker!G103</f>
        <v>Departmental radio requirements collected</v>
      </c>
      <c r="C102" s="179" t="str">
        <f aca="false">TRIM(Tracker!D103)</f>
        <v>C4i</v>
      </c>
      <c r="D102" s="179" t="str">
        <f aca="false">IF(TRIM(Tracker!J103)="",Tracker!I103,Tracker!J103)</f>
        <v>Teymur</v>
      </c>
      <c r="E102" s="180" t="n">
        <f aca="false">IF(ISNUMBER(Tracker!K103),Tracker!K103,IF(ISNUMBER(Tracker!L103),Tracker!L103,0))</f>
        <v>46249</v>
      </c>
      <c r="F102" s="180" t="n">
        <f aca="false">IF(ISNUMBER(Tracker!L103),Tracker!L103,IF(ISNUMBER(Tracker!K103),Tracker!K103,0))</f>
        <v>46326</v>
      </c>
      <c r="DU102" s="0" t="str">
        <f aca="false">Tracker!M103</f>
        <v>Not Started</v>
      </c>
    </row>
    <row r="103" customFormat="false" ht="15" hidden="false" customHeight="false" outlineLevel="1" collapsed="false">
      <c r="A103" s="179" t="str">
        <f aca="false">Tracker!F104</f>
        <v>CM.C4i.05.7.2</v>
      </c>
      <c r="B103" s="179" t="str">
        <f aca="false">Tracker!G104</f>
        <v>Talkgroup architecture and callsign convention drafted</v>
      </c>
      <c r="C103" s="179" t="str">
        <f aca="false">TRIM(Tracker!D104)</f>
        <v>C4i</v>
      </c>
      <c r="D103" s="179" t="str">
        <f aca="false">IF(TRIM(Tracker!J104)="",Tracker!I104,Tracker!J104)</f>
        <v>Teymur</v>
      </c>
      <c r="E103" s="180" t="n">
        <f aca="false">IF(ISNUMBER(Tracker!K104),Tracker!K104,IF(ISNUMBER(Tracker!L104),Tracker!L104,0))</f>
        <v>46296</v>
      </c>
      <c r="F103" s="180" t="n">
        <f aca="false">IF(ISNUMBER(Tracker!L104),Tracker!L104,IF(ISNUMBER(Tracker!K104),Tracker!K104,0))</f>
        <v>46356</v>
      </c>
      <c r="DU103" s="0" t="str">
        <f aca="false">Tracker!M104</f>
        <v>Not Started</v>
      </c>
    </row>
    <row r="104" customFormat="false" ht="15" hidden="false" customHeight="false" outlineLevel="1" collapsed="false">
      <c r="A104" s="179" t="str">
        <f aca="false">Tracker!F105</f>
        <v>CM.C4i.05.7.3</v>
      </c>
      <c r="B104" s="179" t="str">
        <f aca="false">Tracker!G105</f>
        <v>Radio hardware quantity schedule issued</v>
      </c>
      <c r="C104" s="179" t="str">
        <f aca="false">TRIM(Tracker!D105)</f>
        <v>C4i</v>
      </c>
      <c r="D104" s="179" t="str">
        <f aca="false">IF(TRIM(Tracker!J105)="",Tracker!I105,Tracker!J105)</f>
        <v>Teymur</v>
      </c>
      <c r="E104" s="180" t="n">
        <f aca="false">IF(ISNUMBER(Tracker!K105),Tracker!K105,IF(ISNUMBER(Tracker!L105),Tracker!L105,0))</f>
        <v>46357</v>
      </c>
      <c r="F104" s="180" t="n">
        <f aca="false">IF(ISNUMBER(Tracker!L105),Tracker!L105,IF(ISNUMBER(Tracker!K105),Tracker!K105,0))</f>
        <v>46418</v>
      </c>
      <c r="DU104" s="0" t="str">
        <f aca="false">Tracker!M105</f>
        <v>Not Started</v>
      </c>
    </row>
    <row r="105" customFormat="false" ht="15" hidden="false" customHeight="false" outlineLevel="1" collapsed="false">
      <c r="A105" s="179" t="str">
        <f aca="false">Tracker!F106</f>
        <v>CM.C4i.05.7.4</v>
      </c>
      <c r="B105" s="179" t="str">
        <f aca="false">Tracker!G106</f>
        <v>Fleetmap V1 issued to Technology for programming</v>
      </c>
      <c r="C105" s="179" t="str">
        <f aca="false">TRIM(Tracker!D106)</f>
        <v>C4i</v>
      </c>
      <c r="D105" s="179" t="str">
        <f aca="false">IF(TRIM(Tracker!J106)="",Tracker!I106,Tracker!J106)</f>
        <v>Teymur</v>
      </c>
      <c r="E105" s="180" t="n">
        <f aca="false">IF(ISNUMBER(Tracker!K106),Tracker!K106,IF(ISNUMBER(Tracker!L106),Tracker!L106,0))</f>
        <v>46402</v>
      </c>
      <c r="F105" s="180" t="n">
        <f aca="false">IF(ISNUMBER(Tracker!L106),Tracker!L106,IF(ISNUMBER(Tracker!K106),Tracker!K106,0))</f>
        <v>46446</v>
      </c>
      <c r="DU105" s="0" t="str">
        <f aca="false">Tracker!M106</f>
        <v>Not Started</v>
      </c>
    </row>
    <row r="106" customFormat="false" ht="15" hidden="false" customHeight="false" outlineLevel="1" collapsed="false">
      <c r="A106" s="179" t="str">
        <f aca="false">Tracker!F107</f>
        <v>CM.C4i.05.8</v>
      </c>
      <c r="B106" s="179" t="str">
        <f aca="false">Tracker!G107</f>
        <v>IMS configuration validated against C4i requirements</v>
      </c>
      <c r="C106" s="179" t="str">
        <f aca="false">TRIM(Tracker!D107)</f>
        <v>C4i</v>
      </c>
      <c r="D106" s="179" t="str">
        <f aca="false">IF(TRIM(Tracker!J107)="",Tracker!I107,Tracker!J107)</f>
        <v>Teymur</v>
      </c>
      <c r="E106" s="180" t="n">
        <f aca="false">IF(ISNUMBER(Tracker!K107),Tracker!K107,IF(ISNUMBER(Tracker!L107),Tracker!L107,0))</f>
        <v>46357</v>
      </c>
      <c r="F106" s="180" t="n">
        <f aca="false">IF(ISNUMBER(Tracker!L107),Tracker!L107,IF(ISNUMBER(Tracker!K107),Tracker!K107,0))</f>
        <v>46446</v>
      </c>
      <c r="DU106" s="0" t="str">
        <f aca="false">Tracker!M107</f>
        <v>Not Started</v>
      </c>
    </row>
    <row r="107" customFormat="false" ht="15" hidden="false" customHeight="false" outlineLevel="1" collapsed="false">
      <c r="A107" s="179" t="str">
        <f aca="false">Tracker!F108</f>
        <v>CM.C4i.05.9</v>
      </c>
      <c r="B107" s="179" t="str">
        <f aca="false">Tracker!G108</f>
        <v>Video wall and COP content plan approved</v>
      </c>
      <c r="C107" s="179" t="str">
        <f aca="false">TRIM(Tracker!D108)</f>
        <v>C4i</v>
      </c>
      <c r="D107" s="179" t="str">
        <f aca="false">IF(TRIM(Tracker!J108)="",Tracker!I108,Tracker!J108)</f>
        <v>Teymur</v>
      </c>
      <c r="E107" s="180" t="n">
        <f aca="false">IF(ISNUMBER(Tracker!K108),Tracker!K108,IF(ISNUMBER(Tracker!L108),Tracker!L108,0))</f>
        <v>46402</v>
      </c>
      <c r="F107" s="180" t="n">
        <f aca="false">IF(ISNUMBER(Tracker!L108),Tracker!L108,IF(ISNUMBER(Tracker!K108),Tracker!K108,0))</f>
        <v>46477</v>
      </c>
      <c r="DU107" s="0" t="str">
        <f aca="false">Tracker!M108</f>
        <v>Not Started</v>
      </c>
    </row>
    <row r="108" customFormat="false" ht="15" hidden="false" customHeight="false" outlineLevel="1" collapsed="false">
      <c r="A108" s="179" t="str">
        <f aca="false">Tracker!F109</f>
        <v>CM.C4i.06</v>
      </c>
      <c r="B108" s="179" t="str">
        <f aca="false">Tracker!G109</f>
        <v>Stakeholder Integration &amp; Interface Management</v>
      </c>
      <c r="C108" s="179" t="str">
        <f aca="false">TRIM(Tracker!D109)</f>
        <v>C4i</v>
      </c>
      <c r="D108" s="179" t="str">
        <f aca="false">IF(TRIM(Tracker!J109)="",Tracker!I109,Tracker!J109)</f>
        <v>Teymur</v>
      </c>
      <c r="E108" s="180" t="n">
        <f aca="false">IF(ISNUMBER(Tracker!K109),Tracker!K109,IF(ISNUMBER(Tracker!L109),Tracker!L109,0))</f>
        <v>46235</v>
      </c>
      <c r="F108" s="180" t="n">
        <f aca="false">IF(ISNUMBER(Tracker!L109),Tracker!L109,IF(ISNUMBER(Tracker!K109),Tracker!K109,0))</f>
        <v>46446</v>
      </c>
      <c r="DU108" s="0" t="str">
        <f aca="false">Tracker!M109</f>
        <v>No Update Received</v>
      </c>
    </row>
    <row r="109" customFormat="false" ht="15" hidden="false" customHeight="false" outlineLevel="1" collapsed="false">
      <c r="A109" s="179" t="str">
        <f aca="false">Tracker!F110</f>
        <v>CM.C4i.06.1</v>
      </c>
      <c r="B109" s="179" t="str">
        <f aca="false">Tracker!G110</f>
        <v>C4i stakeholder map and interface register complete</v>
      </c>
      <c r="C109" s="179" t="str">
        <f aca="false">TRIM(Tracker!D110)</f>
        <v>C4i</v>
      </c>
      <c r="D109" s="179" t="str">
        <f aca="false">IF(TRIM(Tracker!J110)="",Tracker!I110,Tracker!J110)</f>
        <v>Teymur</v>
      </c>
      <c r="E109" s="180" t="n">
        <f aca="false">IF(ISNUMBER(Tracker!K110),Tracker!K110,IF(ISNUMBER(Tracker!L110),Tracker!L110,0))</f>
        <v>46235</v>
      </c>
      <c r="F109" s="180" t="n">
        <f aca="false">IF(ISNUMBER(Tracker!L110),Tracker!L110,IF(ISNUMBER(Tracker!K110),Tracker!K110,0))</f>
        <v>46265</v>
      </c>
      <c r="DU109" s="0" t="str">
        <f aca="false">Tracker!M110</f>
        <v>On Track</v>
      </c>
    </row>
    <row r="110" customFormat="false" ht="15" hidden="false" customHeight="false" outlineLevel="1" collapsed="false">
      <c r="A110" s="179" t="str">
        <f aca="false">Tracker!F111</f>
        <v>CM.C4i.06.2</v>
      </c>
      <c r="B110" s="179" t="str">
        <f aca="false">Tracker!G111</f>
        <v>C4i RACI matrix approved</v>
      </c>
      <c r="C110" s="179" t="str">
        <f aca="false">TRIM(Tracker!D111)</f>
        <v>C4i</v>
      </c>
      <c r="D110" s="179" t="str">
        <f aca="false">IF(TRIM(Tracker!J111)="",Tracker!I111,Tracker!J111)</f>
        <v>Teymur</v>
      </c>
      <c r="E110" s="180" t="n">
        <f aca="false">IF(ISNUMBER(Tracker!K111),Tracker!K111,IF(ISNUMBER(Tracker!L111),Tracker!L111,0))</f>
        <v>46266</v>
      </c>
      <c r="F110" s="180" t="n">
        <f aca="false">IF(ISNUMBER(Tracker!L111),Tracker!L111,IF(ISNUMBER(Tracker!K111),Tracker!K111,0))</f>
        <v>46326</v>
      </c>
      <c r="DU110" s="0" t="str">
        <f aca="false">Tracker!M111</f>
        <v>Not Started</v>
      </c>
    </row>
    <row r="111" customFormat="false" ht="15" hidden="false" customHeight="false" outlineLevel="1" collapsed="false">
      <c r="A111" s="179" t="str">
        <f aca="false">Tracker!F112</f>
        <v>CM.C4i.06.3</v>
      </c>
      <c r="B111" s="179" t="str">
        <f aca="false">Tracker!G112</f>
        <v>External agency identification and engagement plan issued</v>
      </c>
      <c r="C111" s="179" t="str">
        <f aca="false">TRIM(Tracker!D112)</f>
        <v>C4i</v>
      </c>
      <c r="D111" s="179" t="str">
        <f aca="false">IF(TRIM(Tracker!J112)="",Tracker!I112,Tracker!J112)</f>
        <v>Teymur</v>
      </c>
      <c r="E111" s="180" t="n">
        <f aca="false">IF(ISNUMBER(Tracker!K112),Tracker!K112,IF(ISNUMBER(Tracker!L112),Tracker!L112,0))</f>
        <v>46266</v>
      </c>
      <c r="F111" s="180" t="n">
        <f aca="false">IF(ISNUMBER(Tracker!L112),Tracker!L112,IF(ISNUMBER(Tracker!K112),Tracker!K112,0))</f>
        <v>46326</v>
      </c>
      <c r="DU111" s="0" t="str">
        <f aca="false">Tracker!M112</f>
        <v>Not Started</v>
      </c>
    </row>
    <row r="112" customFormat="false" ht="15" hidden="false" customHeight="false" outlineLevel="1" collapsed="false">
      <c r="A112" s="179" t="str">
        <f aca="false">Tracker!F113</f>
        <v>CM.C4i.06.4</v>
      </c>
      <c r="B112" s="179" t="str">
        <f aca="false">Tracker!G113</f>
        <v>EOC interface protocols agreed with departments</v>
      </c>
      <c r="C112" s="179" t="str">
        <f aca="false">TRIM(Tracker!D113)</f>
        <v>C4i</v>
      </c>
      <c r="D112" s="179" t="str">
        <f aca="false">IF(TRIM(Tracker!J113)="",Tracker!I113,Tracker!J113)</f>
        <v>Teymur</v>
      </c>
      <c r="E112" s="180" t="n">
        <f aca="false">IF(ISNUMBER(Tracker!K113),Tracker!K113,IF(ISNUMBER(Tracker!L113),Tracker!L113,0))</f>
        <v>46327</v>
      </c>
      <c r="F112" s="180" t="n">
        <f aca="false">IF(ISNUMBER(Tracker!L113),Tracker!L113,IF(ISNUMBER(Tracker!K113),Tracker!K113,0))</f>
        <v>46418</v>
      </c>
      <c r="DU112" s="0" t="str">
        <f aca="false">Tracker!M113</f>
        <v>Not Started</v>
      </c>
    </row>
    <row r="113" customFormat="false" ht="15" hidden="false" customHeight="false" outlineLevel="1" collapsed="false">
      <c r="A113" s="179" t="str">
        <f aca="false">Tracker!F114</f>
        <v>CM.C4i.06.5</v>
      </c>
      <c r="B113" s="179" t="str">
        <f aca="false">Tracker!G114</f>
        <v>External agency integration arrangements confirmed</v>
      </c>
      <c r="C113" s="179" t="str">
        <f aca="false">TRIM(Tracker!D114)</f>
        <v>C4i</v>
      </c>
      <c r="D113" s="179" t="str">
        <f aca="false">IF(TRIM(Tracker!J114)="",Tracker!I114,Tracker!J114)</f>
        <v>Teymur</v>
      </c>
      <c r="E113" s="180" t="n">
        <f aca="false">IF(ISNUMBER(Tracker!K114),Tracker!K114,IF(ISNUMBER(Tracker!L114),Tracker!L114,0))</f>
        <v>46327</v>
      </c>
      <c r="F113" s="180" t="n">
        <f aca="false">IF(ISNUMBER(Tracker!L114),Tracker!L114,IF(ISNUMBER(Tracker!K114),Tracker!K114,0))</f>
        <v>46446</v>
      </c>
      <c r="DU113" s="0" t="str">
        <f aca="false">Tracker!M114</f>
        <v>Not Started</v>
      </c>
    </row>
    <row r="114" customFormat="false" ht="15" hidden="false" customHeight="false" outlineLevel="1" collapsed="false">
      <c r="A114" s="179" t="str">
        <f aca="false">Tracker!F115</f>
        <v>CM.C4i.06.6</v>
      </c>
      <c r="B114" s="179" t="str">
        <f aca="false">Tracker!G115</f>
        <v>C4i alignment governance maintained (recurring)</v>
      </c>
      <c r="C114" s="179" t="str">
        <f aca="false">TRIM(Tracker!D115)</f>
        <v>C4i</v>
      </c>
      <c r="D114" s="179" t="str">
        <f aca="false">IF(TRIM(Tracker!J115)="",Tracker!I115,Tracker!J115)</f>
        <v>Teymur</v>
      </c>
      <c r="E114" s="180" t="n">
        <f aca="false">IF(ISNUMBER(Tracker!K115),Tracker!K115,IF(ISNUMBER(Tracker!L115),Tracker!L115,0))</f>
        <v>46258</v>
      </c>
      <c r="F114" s="180" t="n">
        <f aca="false">IF(ISNUMBER(Tracker!L115),Tracker!L115,IF(ISNUMBER(Tracker!K115),Tracker!K115,0))</f>
        <v>46461</v>
      </c>
      <c r="DU114" s="0" t="str">
        <f aca="false">Tracker!M115</f>
        <v>Not Started</v>
      </c>
    </row>
    <row r="115" customFormat="false" ht="15" hidden="false" customHeight="false" outlineLevel="1" collapsed="false">
      <c r="A115" s="179" t="str">
        <f aca="false">Tracker!F116</f>
        <v>CM.C4i.07</v>
      </c>
      <c r="B115" s="179" t="str">
        <f aca="false">Tracker!G116</f>
        <v>C4i Systems &amp; Technology Integration</v>
      </c>
      <c r="C115" s="179" t="str">
        <f aca="false">TRIM(Tracker!D116)</f>
        <v>C4i</v>
      </c>
      <c r="D115" s="179" t="str">
        <f aca="false">IF(TRIM(Tracker!J116)="",Tracker!I116,Tracker!J116)</f>
        <v>Teymur</v>
      </c>
      <c r="E115" s="180" t="n">
        <f aca="false">IF(ISNUMBER(Tracker!K116),Tracker!K116,IF(ISNUMBER(Tracker!L116),Tracker!L116,0))</f>
        <v>46266</v>
      </c>
      <c r="F115" s="180" t="n">
        <f aca="false">IF(ISNUMBER(Tracker!L116),Tracker!L116,IF(ISNUMBER(Tracker!K116),Tracker!K116,0))</f>
        <v>46492</v>
      </c>
      <c r="DU115" s="0" t="str">
        <f aca="false">Tracker!M116</f>
        <v>Not Started</v>
      </c>
    </row>
    <row r="116" customFormat="false" ht="15" hidden="false" customHeight="false" outlineLevel="1" collapsed="false">
      <c r="A116" s="179" t="str">
        <f aca="false">Tracker!F117</f>
        <v>CM.C4i.07.1</v>
      </c>
      <c r="B116" s="179" t="str">
        <f aca="false">Tracker!G117</f>
        <v>C4i systems integration map produced</v>
      </c>
      <c r="C116" s="179" t="str">
        <f aca="false">TRIM(Tracker!D117)</f>
        <v>C4i</v>
      </c>
      <c r="D116" s="179" t="str">
        <f aca="false">IF(TRIM(Tracker!J117)="",Tracker!I117,Tracker!J117)</f>
        <v>Teymur</v>
      </c>
      <c r="E116" s="180" t="n">
        <f aca="false">IF(ISNUMBER(Tracker!K117),Tracker!K117,IF(ISNUMBER(Tracker!L117),Tracker!L117,0))</f>
        <v>46266</v>
      </c>
      <c r="F116" s="180" t="n">
        <f aca="false">IF(ISNUMBER(Tracker!L117),Tracker!L117,IF(ISNUMBER(Tracker!K117),Tracker!K117,0))</f>
        <v>46356</v>
      </c>
      <c r="DU116" s="0" t="str">
        <f aca="false">Tracker!M117</f>
        <v>Not Started</v>
      </c>
    </row>
    <row r="117" customFormat="false" ht="15" hidden="false" customHeight="false" outlineLevel="1" collapsed="false">
      <c r="A117" s="179" t="str">
        <f aca="false">Tracker!F118</f>
        <v>CM.C4i.07.2</v>
      </c>
      <c r="B117" s="179" t="str">
        <f aca="false">Tracker!G118</f>
        <v>IMS functional requirements and configuration support</v>
      </c>
      <c r="C117" s="179" t="str">
        <f aca="false">TRIM(Tracker!D118)</f>
        <v>C4i</v>
      </c>
      <c r="D117" s="179" t="str">
        <f aca="false">IF(TRIM(Tracker!J118)="",Tracker!I118,Tracker!J118)</f>
        <v>Teymur</v>
      </c>
      <c r="E117" s="180" t="n">
        <f aca="false">IF(ISNUMBER(Tracker!K118),Tracker!K118,IF(ISNUMBER(Tracker!L118),Tracker!L118,0))</f>
        <v>46266</v>
      </c>
      <c r="F117" s="180" t="n">
        <f aca="false">IF(ISNUMBER(Tracker!L118),Tracker!L118,IF(ISNUMBER(Tracker!K118),Tracker!K118,0))</f>
        <v>46446</v>
      </c>
      <c r="DU117" s="0" t="str">
        <f aca="false">Tracker!M118</f>
        <v>Not Started</v>
      </c>
    </row>
    <row r="118" customFormat="false" ht="15" hidden="false" customHeight="false" outlineLevel="1" collapsed="false">
      <c r="A118" s="179" t="str">
        <f aca="false">Tracker!F119</f>
        <v>CM.C4i.07.3</v>
      </c>
      <c r="B118" s="179" t="str">
        <f aca="false">Tracker!G119</f>
        <v>MOC technology resilience and failover requirements issued</v>
      </c>
      <c r="C118" s="179" t="str">
        <f aca="false">TRIM(Tracker!D119)</f>
        <v>C4i</v>
      </c>
      <c r="D118" s="179" t="str">
        <f aca="false">IF(TRIM(Tracker!J119)="",Tracker!I119,Tracker!J119)</f>
        <v>Teymur</v>
      </c>
      <c r="E118" s="180" t="n">
        <f aca="false">IF(ISNUMBER(Tracker!K119),Tracker!K119,IF(ISNUMBER(Tracker!L119),Tracker!L119,0))</f>
        <v>46296</v>
      </c>
      <c r="F118" s="180" t="n">
        <f aca="false">IF(ISNUMBER(Tracker!L119),Tracker!L119,IF(ISNUMBER(Tracker!K119),Tracker!K119,0))</f>
        <v>46371</v>
      </c>
      <c r="DU118" s="0" t="str">
        <f aca="false">Tracker!M119</f>
        <v>Not Started</v>
      </c>
    </row>
    <row r="119" customFormat="false" ht="15" hidden="false" customHeight="false" outlineLevel="1" collapsed="false">
      <c r="A119" s="179" t="str">
        <f aca="false">Tracker!F120</f>
        <v>CM.C4i.07.4</v>
      </c>
      <c r="B119" s="179" t="str">
        <f aca="false">Tracker!G120</f>
        <v>MOC display and video wall technical requirements issued</v>
      </c>
      <c r="C119" s="179" t="str">
        <f aca="false">TRIM(Tracker!D120)</f>
        <v>C4i</v>
      </c>
      <c r="D119" s="179" t="str">
        <f aca="false">IF(TRIM(Tracker!J120)="",Tracker!I120,Tracker!J120)</f>
        <v>Teymur</v>
      </c>
      <c r="E119" s="180" t="n">
        <f aca="false">IF(ISNUMBER(Tracker!K120),Tracker!K120,IF(ISNUMBER(Tracker!L120),Tracker!L120,0))</f>
        <v>46327</v>
      </c>
      <c r="F119" s="180" t="n">
        <f aca="false">IF(ISNUMBER(Tracker!L120),Tracker!L120,IF(ISNUMBER(Tracker!K120),Tracker!K120,0))</f>
        <v>46418</v>
      </c>
      <c r="DU119" s="0" t="str">
        <f aca="false">Tracker!M120</f>
        <v>Not Started</v>
      </c>
    </row>
    <row r="120" customFormat="false" ht="15" hidden="false" customHeight="false" outlineLevel="1" collapsed="false">
      <c r="A120" s="179" t="str">
        <f aca="false">Tracker!F121</f>
        <v>CM.C4i.07.5</v>
      </c>
      <c r="B120" s="179" t="str">
        <f aca="false">Tracker!G121</f>
        <v>Radio and voice communications systems integration supported</v>
      </c>
      <c r="C120" s="179" t="str">
        <f aca="false">TRIM(Tracker!D121)</f>
        <v>C4i</v>
      </c>
      <c r="D120" s="179" t="str">
        <f aca="false">IF(TRIM(Tracker!J121)="",Tracker!I121,Tracker!J121)</f>
        <v>Teymur</v>
      </c>
      <c r="E120" s="180" t="n">
        <f aca="false">IF(ISNUMBER(Tracker!K121),Tracker!K121,IF(ISNUMBER(Tracker!L121),Tracker!L121,0))</f>
        <v>46327</v>
      </c>
      <c r="F120" s="180" t="n">
        <f aca="false">IF(ISNUMBER(Tracker!L121),Tracker!L121,IF(ISNUMBER(Tracker!K121),Tracker!K121,0))</f>
        <v>46461</v>
      </c>
      <c r="DU120" s="0" t="str">
        <f aca="false">Tracker!M121</f>
        <v>Not Started</v>
      </c>
    </row>
    <row r="121" customFormat="false" ht="15" hidden="false" customHeight="false" outlineLevel="1" collapsed="false">
      <c r="A121" s="179" t="str">
        <f aca="false">Tracker!F122</f>
        <v>CM.C4i.07.6</v>
      </c>
      <c r="B121" s="179" t="str">
        <f aca="false">Tracker!G122</f>
        <v>C4i participation in Technology Rehearsals 1 and 2</v>
      </c>
      <c r="C121" s="179" t="str">
        <f aca="false">TRIM(Tracker!D122)</f>
        <v>C4i</v>
      </c>
      <c r="D121" s="179" t="str">
        <f aca="false">IF(TRIM(Tracker!J122)="",Tracker!I122,Tracker!J122)</f>
        <v>Teymur</v>
      </c>
      <c r="E121" s="180" t="n">
        <f aca="false">IF(ISNUMBER(Tracker!K122),Tracker!K122,IF(ISNUMBER(Tracker!L122),Tracker!L122,0))</f>
        <v>46478</v>
      </c>
      <c r="F121" s="180" t="n">
        <f aca="false">IF(ISNUMBER(Tracker!L122),Tracker!L122,IF(ISNUMBER(Tracker!K122),Tracker!K122,0))</f>
        <v>46492</v>
      </c>
      <c r="DU121" s="0" t="str">
        <f aca="false">Tracker!M122</f>
        <v>Not Started</v>
      </c>
    </row>
    <row r="122" customFormat="false" ht="15" hidden="false" customHeight="false" outlineLevel="1" collapsed="false">
      <c r="A122" s="179" t="str">
        <f aca="false">Tracker!F123</f>
        <v>CM.C4i.08</v>
      </c>
      <c r="B122" s="179" t="str">
        <f aca="false">Tracker!G123</f>
        <v>C4i Training &amp; Exercise Frameworks</v>
      </c>
      <c r="C122" s="179" t="str">
        <f aca="false">TRIM(Tracker!D123)</f>
        <v>C4i</v>
      </c>
      <c r="D122" s="179" t="str">
        <f aca="false">IF(TRIM(Tracker!J123)="",Tracker!I123,Tracker!J123)</f>
        <v>Teymur</v>
      </c>
      <c r="E122" s="180" t="n">
        <f aca="false">IF(ISNUMBER(Tracker!K123),Tracker!K123,IF(ISNUMBER(Tracker!L123),Tracker!L123,0))</f>
        <v>46217</v>
      </c>
      <c r="F122" s="180" t="n">
        <f aca="false">IF(ISNUMBER(Tracker!L123),Tracker!L123,IF(ISNUMBER(Tracker!K123),Tracker!K123,0))</f>
        <v>46492</v>
      </c>
      <c r="DU122" s="0" t="str">
        <f aca="false">Tracker!M123</f>
        <v>Not Started</v>
      </c>
    </row>
    <row r="123" customFormat="false" ht="15" hidden="false" customHeight="false" outlineLevel="1" collapsed="false">
      <c r="A123" s="179" t="str">
        <f aca="false">Tracker!F124</f>
        <v>CM.C4i.08.1</v>
      </c>
      <c r="B123" s="179" t="str">
        <f aca="false">Tracker!G124</f>
        <v>Exercise and training progression strategy defined</v>
      </c>
      <c r="C123" s="179" t="str">
        <f aca="false">TRIM(Tracker!D124)</f>
        <v>C4i</v>
      </c>
      <c r="D123" s="179" t="str">
        <f aca="false">IF(TRIM(Tracker!J124)="",Tracker!I124,Tracker!J124)</f>
        <v>Teymur</v>
      </c>
      <c r="E123" s="180" t="n">
        <f aca="false">IF(ISNUMBER(Tracker!K124),Tracker!K124,IF(ISNUMBER(Tracker!L124),Tracker!L124,0))</f>
        <v>46235</v>
      </c>
      <c r="F123" s="180" t="n">
        <f aca="false">IF(ISNUMBER(Tracker!L124),Tracker!L124,IF(ISNUMBER(Tracker!K124),Tracker!K124,0))</f>
        <v>46295</v>
      </c>
      <c r="DU123" s="0" t="str">
        <f aca="false">Tracker!M124</f>
        <v>On Track</v>
      </c>
    </row>
    <row r="124" customFormat="false" ht="15" hidden="false" customHeight="false" outlineLevel="1" collapsed="false">
      <c r="A124" s="179" t="str">
        <f aca="false">Tracker!F125</f>
        <v>CM.C4i.08.2</v>
      </c>
      <c r="B124" s="179" t="str">
        <f aca="false">Tracker!G125</f>
        <v>Model Zone Exercise programme: C4i contribution and outputs</v>
      </c>
      <c r="C124" s="179" t="str">
        <f aca="false">TRIM(Tracker!D125)</f>
        <v>C4i</v>
      </c>
      <c r="D124" s="179" t="str">
        <f aca="false">IF(TRIM(Tracker!J125)="",Tracker!I125,Tracker!J125)</f>
        <v>Teymur</v>
      </c>
      <c r="E124" s="180" t="n">
        <f aca="false">IF(ISNUMBER(Tracker!K125),Tracker!K125,IF(ISNUMBER(Tracker!L125),Tracker!L125,0))</f>
        <v>46217</v>
      </c>
      <c r="F124" s="180" t="n">
        <f aca="false">IF(ISNUMBER(Tracker!L125),Tracker!L125,IF(ISNUMBER(Tracker!K125),Tracker!K125,0))</f>
        <v>46295</v>
      </c>
      <c r="DU124" s="0" t="str">
        <f aca="false">Tracker!M125</f>
        <v>On Track</v>
      </c>
    </row>
    <row r="125" customFormat="false" ht="15" hidden="false" customHeight="false" outlineLevel="1" collapsed="false">
      <c r="A125" s="179" t="str">
        <f aca="false">Tracker!F126</f>
        <v>CM.C4i.08.3</v>
      </c>
      <c r="B125" s="179" t="str">
        <f aca="false">Tracker!G126</f>
        <v>MOC training packages developed (MOC MOC, Who's There)</v>
      </c>
      <c r="C125" s="179" t="str">
        <f aca="false">TRIM(Tracker!D126)</f>
        <v>C4i</v>
      </c>
      <c r="D125" s="179" t="str">
        <f aca="false">IF(TRIM(Tracker!J126)="",Tracker!I126,Tracker!J126)</f>
        <v>Teymur</v>
      </c>
      <c r="E125" s="180" t="n">
        <f aca="false">IF(ISNUMBER(Tracker!K126),Tracker!K126,IF(ISNUMBER(Tracker!L126),Tracker!L126,0))</f>
        <v>46327</v>
      </c>
      <c r="F125" s="180" t="n">
        <f aca="false">IF(ISNUMBER(Tracker!L126),Tracker!L126,IF(ISNUMBER(Tracker!K126),Tracker!K126,0))</f>
        <v>46446</v>
      </c>
      <c r="DU125" s="0" t="str">
        <f aca="false">Tracker!M126</f>
        <v>Not Started</v>
      </c>
    </row>
    <row r="126" customFormat="false" ht="15" hidden="false" customHeight="false" outlineLevel="1" collapsed="false">
      <c r="A126" s="179" t="str">
        <f aca="false">Tracker!F127</f>
        <v>CM.C4i.08.3.1</v>
      </c>
      <c r="B126" s="179" t="str">
        <f aca="false">Tracker!G127</f>
        <v>MOC training needs analysis by role</v>
      </c>
      <c r="C126" s="179" t="str">
        <f aca="false">TRIM(Tracker!D127)</f>
        <v>C4i</v>
      </c>
      <c r="D126" s="179" t="str">
        <f aca="false">IF(TRIM(Tracker!J127)="",Tracker!I127,Tracker!J127)</f>
        <v>Teymur</v>
      </c>
      <c r="E126" s="180" t="n">
        <f aca="false">IF(ISNUMBER(Tracker!K127),Tracker!K127,IF(ISNUMBER(Tracker!L127),Tracker!L127,0))</f>
        <v>46327</v>
      </c>
      <c r="F126" s="180" t="n">
        <f aca="false">IF(ISNUMBER(Tracker!L127),Tracker!L127,IF(ISNUMBER(Tracker!K127),Tracker!K127,0))</f>
        <v>46371</v>
      </c>
      <c r="DU126" s="0" t="str">
        <f aca="false">Tracker!M127</f>
        <v>Not Started</v>
      </c>
    </row>
    <row r="127" customFormat="false" ht="15" hidden="false" customHeight="false" outlineLevel="1" collapsed="false">
      <c r="A127" s="179" t="str">
        <f aca="false">Tracker!F128</f>
        <v>CM.C4i.08.3.2</v>
      </c>
      <c r="B127" s="179" t="str">
        <f aca="false">Tracker!G128</f>
        <v>Core C4i awareness module developed</v>
      </c>
      <c r="C127" s="179" t="str">
        <f aca="false">TRIM(Tracker!D128)</f>
        <v>C4i</v>
      </c>
      <c r="D127" s="179" t="str">
        <f aca="false">IF(TRIM(Tracker!J128)="",Tracker!I128,Tracker!J128)</f>
        <v>Teymur</v>
      </c>
      <c r="E127" s="180" t="n">
        <f aca="false">IF(ISNUMBER(Tracker!K128),Tracker!K128,IF(ISNUMBER(Tracker!L128),Tracker!L128,0))</f>
        <v>46357</v>
      </c>
      <c r="F127" s="180" t="n">
        <f aca="false">IF(ISNUMBER(Tracker!L128),Tracker!L128,IF(ISNUMBER(Tracker!K128),Tracker!K128,0))</f>
        <v>46418</v>
      </c>
      <c r="DU127" s="0" t="str">
        <f aca="false">Tracker!M128</f>
        <v>Not Started</v>
      </c>
    </row>
    <row r="128" customFormat="false" ht="15" hidden="false" customHeight="false" outlineLevel="1" collapsed="false">
      <c r="A128" s="179" t="str">
        <f aca="false">Tracker!F129</f>
        <v>CM.C4i.08.3.3</v>
      </c>
      <c r="B128" s="179" t="str">
        <f aca="false">Tracker!G129</f>
        <v>Role-specific MOC and EOC modules developed</v>
      </c>
      <c r="C128" s="179" t="str">
        <f aca="false">TRIM(Tracker!D129)</f>
        <v>C4i</v>
      </c>
      <c r="D128" s="179" t="str">
        <f aca="false">IF(TRIM(Tracker!J129)="",Tracker!I129,Tracker!J129)</f>
        <v>Teymur</v>
      </c>
      <c r="E128" s="180" t="n">
        <f aca="false">IF(ISNUMBER(Tracker!K129),Tracker!K129,IF(ISNUMBER(Tracker!L129),Tracker!L129,0))</f>
        <v>46388</v>
      </c>
      <c r="F128" s="180" t="n">
        <f aca="false">IF(ISNUMBER(Tracker!L129),Tracker!L129,IF(ISNUMBER(Tracker!K129),Tracker!K129,0))</f>
        <v>46446</v>
      </c>
      <c r="DU128" s="0" t="str">
        <f aca="false">Tracker!M129</f>
        <v>Not Started</v>
      </c>
    </row>
    <row r="129" customFormat="false" ht="15" hidden="false" customHeight="false" outlineLevel="1" collapsed="false">
      <c r="A129" s="179" t="str">
        <f aca="false">Tracker!F130</f>
        <v>CM.C4i.08.4</v>
      </c>
      <c r="B129" s="179" t="str">
        <f aca="false">Tracker!G130</f>
        <v>Tabletop Exercise 1 (C4i and escalation) designed and delivered</v>
      </c>
      <c r="C129" s="179" t="str">
        <f aca="false">TRIM(Tracker!D130)</f>
        <v>C4i</v>
      </c>
      <c r="D129" s="179" t="str">
        <f aca="false">IF(TRIM(Tracker!J130)="",Tracker!I130,Tracker!J130)</f>
        <v>Teymur</v>
      </c>
      <c r="E129" s="180" t="n">
        <f aca="false">IF(ISNUMBER(Tracker!K130),Tracker!K130,IF(ISNUMBER(Tracker!L130),Tracker!L130,0))</f>
        <v>46392</v>
      </c>
      <c r="F129" s="180" t="n">
        <f aca="false">IF(ISNUMBER(Tracker!L130),Tracker!L130,IF(ISNUMBER(Tracker!K130),Tracker!K130,0))</f>
        <v>46446</v>
      </c>
      <c r="DU129" s="0" t="str">
        <f aca="false">Tracker!M130</f>
        <v>Not Started</v>
      </c>
    </row>
    <row r="130" customFormat="false" ht="15" hidden="false" customHeight="false" outlineLevel="1" collapsed="false">
      <c r="A130" s="179" t="str">
        <f aca="false">Tracker!F131</f>
        <v>CM.C4i.08.4.1</v>
      </c>
      <c r="B130" s="179" t="str">
        <f aca="false">Tracker!G131</f>
        <v>TTX scope, objectives and success criteria agreed</v>
      </c>
      <c r="C130" s="179" t="str">
        <f aca="false">TRIM(Tracker!D131)</f>
        <v>C4i</v>
      </c>
      <c r="D130" s="179" t="str">
        <f aca="false">IF(TRIM(Tracker!J131)="",Tracker!I131,Tracker!J131)</f>
        <v>Teymur</v>
      </c>
      <c r="E130" s="180" t="n">
        <f aca="false">IF(ISNUMBER(Tracker!K131),Tracker!K131,IF(ISNUMBER(Tracker!L131),Tracker!L131,0))</f>
        <v>46392</v>
      </c>
      <c r="F130" s="180" t="n">
        <f aca="false">IF(ISNUMBER(Tracker!L131),Tracker!L131,IF(ISNUMBER(Tracker!K131),Tracker!K131,0))</f>
        <v>46407</v>
      </c>
      <c r="DU130" s="0" t="str">
        <f aca="false">Tracker!M131</f>
        <v>Not Started</v>
      </c>
    </row>
    <row r="131" customFormat="false" ht="15" hidden="false" customHeight="false" outlineLevel="1" collapsed="false">
      <c r="A131" s="179" t="str">
        <f aca="false">Tracker!F132</f>
        <v>CM.C4i.08.4.2</v>
      </c>
      <c r="B131" s="179" t="str">
        <f aca="false">Tracker!G132</f>
        <v>Scenario and inject schedule built</v>
      </c>
      <c r="C131" s="179" t="str">
        <f aca="false">TRIM(Tracker!D132)</f>
        <v>C4i</v>
      </c>
      <c r="D131" s="179" t="str">
        <f aca="false">IF(TRIM(Tracker!J132)="",Tracker!I132,Tracker!J132)</f>
        <v>Teymur</v>
      </c>
      <c r="E131" s="180" t="n">
        <f aca="false">IF(ISNUMBER(Tracker!K132),Tracker!K132,IF(ISNUMBER(Tracker!L132),Tracker!L132,0))</f>
        <v>46402</v>
      </c>
      <c r="F131" s="180" t="n">
        <f aca="false">IF(ISNUMBER(Tracker!L132),Tracker!L132,IF(ISNUMBER(Tracker!K132),Tracker!K132,0))</f>
        <v>46428</v>
      </c>
      <c r="DU131" s="0" t="str">
        <f aca="false">Tracker!M132</f>
        <v>Not Started</v>
      </c>
    </row>
    <row r="132" customFormat="false" ht="15" hidden="false" customHeight="false" outlineLevel="1" collapsed="false">
      <c r="A132" s="179" t="str">
        <f aca="false">Tracker!F133</f>
        <v>CM.C4i.08.4.3</v>
      </c>
      <c r="B132" s="179" t="str">
        <f aca="false">Tracker!G133</f>
        <v>TTX delivered and hot debrief captured</v>
      </c>
      <c r="C132" s="179" t="str">
        <f aca="false">TRIM(Tracker!D133)</f>
        <v>C4i</v>
      </c>
      <c r="D132" s="179" t="str">
        <f aca="false">IF(TRIM(Tracker!J133)="",Tracker!I133,Tracker!J133)</f>
        <v>Teymur</v>
      </c>
      <c r="E132" s="180" t="n">
        <f aca="false">IF(ISNUMBER(Tracker!K133),Tracker!K133,IF(ISNUMBER(Tracker!L133),Tracker!L133,0))</f>
        <v>46433</v>
      </c>
      <c r="F132" s="180" t="n">
        <f aca="false">IF(ISNUMBER(Tracker!L133),Tracker!L133,IF(ISNUMBER(Tracker!K133),Tracker!K133,0))</f>
        <v>46443</v>
      </c>
      <c r="DU132" s="0" t="str">
        <f aca="false">Tracker!M133</f>
        <v>Not Started</v>
      </c>
    </row>
    <row r="133" customFormat="false" ht="15" hidden="false" customHeight="false" outlineLevel="1" collapsed="false">
      <c r="A133" s="179" t="str">
        <f aca="false">Tracker!F134</f>
        <v>CM.C4i.08.4.4</v>
      </c>
      <c r="B133" s="179" t="str">
        <f aca="false">Tracker!G134</f>
        <v>TTX report and lessons issued</v>
      </c>
      <c r="C133" s="179" t="str">
        <f aca="false">TRIM(Tracker!D134)</f>
        <v>C4i</v>
      </c>
      <c r="D133" s="179" t="str">
        <f aca="false">IF(TRIM(Tracker!J134)="",Tracker!I134,Tracker!J134)</f>
        <v>Teymur</v>
      </c>
      <c r="E133" s="180" t="n">
        <f aca="false">IF(ISNUMBER(Tracker!K134),Tracker!K134,IF(ISNUMBER(Tracker!L134),Tracker!L134,0))</f>
        <v>46438</v>
      </c>
      <c r="F133" s="180" t="n">
        <f aca="false">IF(ISNUMBER(Tracker!L134),Tracker!L134,IF(ISNUMBER(Tracker!K134),Tracker!K134,0))</f>
        <v>46446</v>
      </c>
      <c r="DU133" s="0" t="str">
        <f aca="false">Tracker!M134</f>
        <v>Not Started</v>
      </c>
    </row>
    <row r="134" customFormat="false" ht="15" hidden="false" customHeight="false" outlineLevel="1" collapsed="false">
      <c r="A134" s="179" t="str">
        <f aca="false">Tracker!F135</f>
        <v>CM.C4i.08.5</v>
      </c>
      <c r="B134" s="179" t="str">
        <f aca="false">Tracker!G135</f>
        <v>MOC training delivery supported</v>
      </c>
      <c r="C134" s="179" t="str">
        <f aca="false">TRIM(Tracker!D135)</f>
        <v>C4i</v>
      </c>
      <c r="D134" s="179" t="str">
        <f aca="false">IF(TRIM(Tracker!J135)="",Tracker!I135,Tracker!J135)</f>
        <v>Teymur</v>
      </c>
      <c r="E134" s="180" t="n">
        <f aca="false">IF(ISNUMBER(Tracker!K135),Tracker!K135,IF(ISNUMBER(Tracker!L135),Tracker!L135,0))</f>
        <v>46447</v>
      </c>
      <c r="F134" s="180" t="n">
        <f aca="false">IF(ISNUMBER(Tracker!L135),Tracker!L135,IF(ISNUMBER(Tracker!K135),Tracker!K135,0))</f>
        <v>46492</v>
      </c>
      <c r="DU134" s="0" t="str">
        <f aca="false">Tracker!M135</f>
        <v>Not Started</v>
      </c>
    </row>
    <row r="135" customFormat="false" ht="15" hidden="false" customHeight="false" outlineLevel="1" collapsed="false">
      <c r="A135" s="179" t="str">
        <f aca="false">Tracker!F136</f>
        <v>CM.C4i.08.6</v>
      </c>
      <c r="B135" s="179" t="str">
        <f aca="false">Tracker!G136</f>
        <v>MOC familiarisation, walk-through and drill programme delivered</v>
      </c>
      <c r="C135" s="179" t="str">
        <f aca="false">TRIM(Tracker!D136)</f>
        <v>C4i</v>
      </c>
      <c r="D135" s="179" t="str">
        <f aca="false">IF(TRIM(Tracker!J136)="",Tracker!I136,Tracker!J136)</f>
        <v>Teymur</v>
      </c>
      <c r="E135" s="180" t="n">
        <f aca="false">IF(ISNUMBER(Tracker!K136),Tracker!K136,IF(ISNUMBER(Tracker!L136),Tracker!L136,0))</f>
        <v>46447</v>
      </c>
      <c r="F135" s="180" t="n">
        <f aca="false">IF(ISNUMBER(Tracker!L136),Tracker!L136,IF(ISNUMBER(Tracker!K136),Tracker!K136,0))</f>
        <v>46492</v>
      </c>
      <c r="DU135" s="0" t="str">
        <f aca="false">Tracker!M136</f>
        <v>Not Started</v>
      </c>
    </row>
    <row r="136" customFormat="false" ht="15" hidden="false" customHeight="false" outlineLevel="1" collapsed="false">
      <c r="A136" s="179" t="str">
        <f aca="false">Tracker!F137</f>
        <v>CM.C4i.08.7</v>
      </c>
      <c r="B136" s="179" t="str">
        <f aca="false">Tracker!G137</f>
        <v>Simulation exercise (MOC live play) designed and delivered</v>
      </c>
      <c r="C136" s="179" t="str">
        <f aca="false">TRIM(Tracker!D137)</f>
        <v>C4i</v>
      </c>
      <c r="D136" s="179" t="str">
        <f aca="false">IF(TRIM(Tracker!J137)="",Tracker!I137,Tracker!J137)</f>
        <v>Teymur</v>
      </c>
      <c r="E136" s="180" t="n">
        <f aca="false">IF(ISNUMBER(Tracker!K137),Tracker!K137,IF(ISNUMBER(Tracker!L137),Tracker!L137,0))</f>
        <v>46419</v>
      </c>
      <c r="F136" s="180" t="n">
        <f aca="false">IF(ISNUMBER(Tracker!L137),Tracker!L137,IF(ISNUMBER(Tracker!K137),Tracker!K137,0))</f>
        <v>46477</v>
      </c>
      <c r="DU136" s="0" t="str">
        <f aca="false">Tracker!M137</f>
        <v>Not Started</v>
      </c>
    </row>
    <row r="137" customFormat="false" ht="15" hidden="false" customHeight="false" outlineLevel="1" collapsed="false">
      <c r="A137" s="179" t="str">
        <f aca="false">Tracker!F138</f>
        <v>CM.C4i.09</v>
      </c>
      <c r="B137" s="179" t="str">
        <f aca="false">Tracker!G138</f>
        <v>C4i Readiness Reviews &amp; Validation Exercises</v>
      </c>
      <c r="C137" s="179" t="str">
        <f aca="false">TRIM(Tracker!D138)</f>
        <v>C4i</v>
      </c>
      <c r="D137" s="179" t="str">
        <f aca="false">IF(TRIM(Tracker!J138)="",Tracker!I138,Tracker!J138)</f>
        <v>Teymur</v>
      </c>
      <c r="E137" s="180" t="n">
        <f aca="false">IF(ISNUMBER(Tracker!K138),Tracker!K138,IF(ISNUMBER(Tracker!L138),Tracker!L138,0))</f>
        <v>46327</v>
      </c>
      <c r="F137" s="180" t="n">
        <f aca="false">IF(ISNUMBER(Tracker!L138),Tracker!L138,IF(ISNUMBER(Tracker!K138),Tracker!K138,0))</f>
        <v>46508</v>
      </c>
      <c r="DU137" s="0" t="str">
        <f aca="false">Tracker!M138</f>
        <v>Not Started</v>
      </c>
    </row>
    <row r="138" customFormat="false" ht="15" hidden="false" customHeight="false" outlineLevel="1" collapsed="false">
      <c r="A138" s="179" t="str">
        <f aca="false">Tracker!F139</f>
        <v>CM.C4i.09.1</v>
      </c>
      <c r="B138" s="179" t="str">
        <f aca="false">Tracker!G139</f>
        <v>C4i readiness criteria and assurance framework defined</v>
      </c>
      <c r="C138" s="179" t="str">
        <f aca="false">TRIM(Tracker!D139)</f>
        <v>C4i</v>
      </c>
      <c r="D138" s="179" t="str">
        <f aca="false">IF(TRIM(Tracker!J139)="",Tracker!I139,Tracker!J139)</f>
        <v>Teymur</v>
      </c>
      <c r="E138" s="180" t="n">
        <f aca="false">IF(ISNUMBER(Tracker!K139),Tracker!K139,IF(ISNUMBER(Tracker!L139),Tracker!L139,0))</f>
        <v>46327</v>
      </c>
      <c r="F138" s="180" t="n">
        <f aca="false">IF(ISNUMBER(Tracker!L139),Tracker!L139,IF(ISNUMBER(Tracker!K139),Tracker!K139,0))</f>
        <v>46387</v>
      </c>
      <c r="DU138" s="0" t="str">
        <f aca="false">Tracker!M139</f>
        <v>Not Started</v>
      </c>
    </row>
    <row r="139" customFormat="false" ht="15" hidden="false" customHeight="false" outlineLevel="1" collapsed="false">
      <c r="A139" s="179" t="str">
        <f aca="false">Tracker!F140</f>
        <v>CM.C4i.09.2</v>
      </c>
      <c r="B139" s="179" t="str">
        <f aca="false">Tracker!G140</f>
        <v>C4i readiness gate reviews completed (R1, R2, R3)</v>
      </c>
      <c r="C139" s="179" t="str">
        <f aca="false">TRIM(Tracker!D140)</f>
        <v>C4i</v>
      </c>
      <c r="D139" s="179" t="str">
        <f aca="false">IF(TRIM(Tracker!J140)="",Tracker!I140,Tracker!J140)</f>
        <v>Teymur</v>
      </c>
      <c r="E139" s="180" t="n">
        <f aca="false">IF(ISNUMBER(Tracker!K140),Tracker!K140,IF(ISNUMBER(Tracker!L140),Tracker!L140,0))</f>
        <v>46391</v>
      </c>
      <c r="F139" s="180" t="n">
        <f aca="false">IF(ISNUMBER(Tracker!L140),Tracker!L140,IF(ISNUMBER(Tracker!K140),Tracker!K140,0))</f>
        <v>46492</v>
      </c>
      <c r="DU139" s="0" t="str">
        <f aca="false">Tracker!M140</f>
        <v>Not Started</v>
      </c>
    </row>
    <row r="140" customFormat="false" ht="15" hidden="false" customHeight="false" outlineLevel="1" collapsed="false">
      <c r="A140" s="179" t="str">
        <f aca="false">Tracker!F141</f>
        <v>CM.C4i.09.3</v>
      </c>
      <c r="B140" s="179" t="str">
        <f aca="false">Tracker!G141</f>
        <v>Lessons identified and continuous improvement log live</v>
      </c>
      <c r="C140" s="179" t="str">
        <f aca="false">TRIM(Tracker!D141)</f>
        <v>C4i</v>
      </c>
      <c r="D140" s="179" t="str">
        <f aca="false">IF(TRIM(Tracker!J141)="",Tracker!I141,Tracker!J141)</f>
        <v>Teymur</v>
      </c>
      <c r="E140" s="180" t="n">
        <f aca="false">IF(ISNUMBER(Tracker!K141),Tracker!K141,IF(ISNUMBER(Tracker!L141),Tracker!L141,0))</f>
        <v>46419</v>
      </c>
      <c r="F140" s="180" t="n">
        <f aca="false">IF(ISNUMBER(Tracker!L141),Tracker!L141,IF(ISNUMBER(Tracker!K141),Tracker!K141,0))</f>
        <v>46477</v>
      </c>
      <c r="DU140" s="0" t="str">
        <f aca="false">Tracker!M141</f>
        <v>Not Started</v>
      </c>
    </row>
    <row r="141" customFormat="false" ht="15" hidden="false" customHeight="false" outlineLevel="1" collapsed="false">
      <c r="A141" s="179" t="str">
        <f aca="false">Tracker!F142</f>
        <v>CM.C4i.09.4</v>
      </c>
      <c r="B141" s="179" t="str">
        <f aca="false">Tracker!G142</f>
        <v>MOC soft operations supported</v>
      </c>
      <c r="C141" s="179" t="str">
        <f aca="false">TRIM(Tracker!D142)</f>
        <v>C4i</v>
      </c>
      <c r="D141" s="179" t="str">
        <f aca="false">IF(TRIM(Tracker!J142)="",Tracker!I142,Tracker!J142)</f>
        <v>Teymur</v>
      </c>
      <c r="E141" s="180" t="n">
        <f aca="false">IF(ISNUMBER(Tracker!K142),Tracker!K142,IF(ISNUMBER(Tracker!L142),Tracker!L142,0))</f>
        <v>46461</v>
      </c>
      <c r="F141" s="180" t="n">
        <f aca="false">IF(ISNUMBER(Tracker!L142),Tracker!L142,IF(ISNUMBER(Tracker!K142),Tracker!K142,0))</f>
        <v>46492</v>
      </c>
      <c r="DU141" s="0" t="str">
        <f aca="false">Tracker!M142</f>
        <v>Not Started</v>
      </c>
    </row>
    <row r="142" customFormat="false" ht="15" hidden="false" customHeight="false" outlineLevel="1" collapsed="false">
      <c r="A142" s="179" t="str">
        <f aca="false">Tracker!F143</f>
        <v>CM.C4i.09.5</v>
      </c>
      <c r="B142" s="179" t="str">
        <f aca="false">Tracker!G143</f>
        <v>MOC operational readiness review completed and assurance report issued</v>
      </c>
      <c r="C142" s="179" t="str">
        <f aca="false">TRIM(Tracker!D143)</f>
        <v>C4i</v>
      </c>
      <c r="D142" s="179" t="str">
        <f aca="false">IF(TRIM(Tracker!J143)="",Tracker!I143,Tracker!J143)</f>
        <v>Teymur</v>
      </c>
      <c r="E142" s="180" t="n">
        <f aca="false">IF(ISNUMBER(Tracker!K143),Tracker!K143,IF(ISNUMBER(Tracker!L143),Tracker!L143,0))</f>
        <v>46461</v>
      </c>
      <c r="F142" s="180" t="n">
        <f aca="false">IF(ISNUMBER(Tracker!L143),Tracker!L143,IF(ISNUMBER(Tracker!K143),Tracker!K143,0))</f>
        <v>46507</v>
      </c>
      <c r="DU142" s="0" t="str">
        <f aca="false">Tracker!M143</f>
        <v>Not Started</v>
      </c>
    </row>
    <row r="143" customFormat="false" ht="15" hidden="false" customHeight="false" outlineLevel="1" collapsed="false">
      <c r="A143" s="179" t="str">
        <f aca="false">Tracker!F144</f>
        <v>CM.C4i.09.6</v>
      </c>
      <c r="B143" s="179" t="str">
        <f aca="false">Tracker!G144</f>
        <v>Full MOC activation supported</v>
      </c>
      <c r="C143" s="179" t="str">
        <f aca="false">TRIM(Tracker!D144)</f>
        <v>C4i</v>
      </c>
      <c r="D143" s="179" t="str">
        <f aca="false">IF(TRIM(Tracker!J144)="",Tracker!I144,Tracker!J144)</f>
        <v>Teymur</v>
      </c>
      <c r="E143" s="180" t="n">
        <f aca="false">IF(ISNUMBER(Tracker!K144),Tracker!K144,IF(ISNUMBER(Tracker!L144),Tracker!L144,0))</f>
        <v>46492</v>
      </c>
      <c r="F143" s="180" t="n">
        <f aca="false">IF(ISNUMBER(Tracker!L144),Tracker!L144,IF(ISNUMBER(Tracker!K144),Tracker!K144,0))</f>
        <v>46508</v>
      </c>
      <c r="DU143" s="0" t="str">
        <f aca="false">Tracker!M144</f>
        <v>Not Started</v>
      </c>
    </row>
    <row r="144" customFormat="false" ht="15" hidden="false" customHeight="false" outlineLevel="1" collapsed="false">
      <c r="A144" s="179" t="str">
        <f aca="false">Tracker!F145</f>
        <v>CM.C4i.09.7</v>
      </c>
      <c r="B144" s="179" t="str">
        <f aca="false">Tracker!G145</f>
        <v>MOC stand-down, debrief and legacy plan produced</v>
      </c>
      <c r="C144" s="179" t="str">
        <f aca="false">TRIM(Tracker!D145)</f>
        <v>C4i</v>
      </c>
      <c r="D144" s="179" t="str">
        <f aca="false">IF(TRIM(Tracker!J145)="",Tracker!I145,Tracker!J145)</f>
        <v>Teymur</v>
      </c>
      <c r="E144" s="180" t="n">
        <f aca="false">IF(ISNUMBER(Tracker!K145),Tracker!K145,IF(ISNUMBER(Tracker!L145),Tracker!L145,0))</f>
        <v>46447</v>
      </c>
      <c r="F144" s="180" t="n">
        <f aca="false">IF(ISNUMBER(Tracker!L145),Tracker!L145,IF(ISNUMBER(Tracker!K145),Tracker!K145,0))</f>
        <v>46507</v>
      </c>
      <c r="DU144" s="0" t="str">
        <f aca="false">Tracker!M145</f>
        <v>Not Started</v>
      </c>
    </row>
    <row r="145" customFormat="false" ht="15" hidden="false" customHeight="false" outlineLevel="1" collapsed="false">
      <c r="A145" s="179" t="str">
        <f aca="false">Tracker!F146</f>
        <v>CM.C4i.10</v>
      </c>
      <c r="B145" s="179" t="str">
        <f aca="false">Tracker!G146</f>
        <v>C4i Reporting, Documentation &amp; Knowledge Management (PROPOSED)</v>
      </c>
      <c r="C145" s="179" t="str">
        <f aca="false">TRIM(Tracker!D146)</f>
        <v>C4i</v>
      </c>
      <c r="D145" s="179" t="str">
        <f aca="false">IF(TRIM(Tracker!J146)="",Tracker!I146,Tracker!J146)</f>
        <v>Teymur</v>
      </c>
      <c r="E145" s="180" t="n">
        <f aca="false">IF(ISNUMBER(Tracker!K146),Tracker!K146,IF(ISNUMBER(Tracker!L146),Tracker!L146,0))</f>
        <v>46209</v>
      </c>
      <c r="F145" s="180" t="n">
        <f aca="false">IF(ISNUMBER(Tracker!L146),Tracker!L146,IF(ISNUMBER(Tracker!K146),Tracker!K146,0))</f>
        <v>46507</v>
      </c>
      <c r="DU145" s="0" t="str">
        <f aca="false">Tracker!M146</f>
        <v>On Track</v>
      </c>
    </row>
    <row r="146" customFormat="false" ht="15" hidden="false" customHeight="false" outlineLevel="1" collapsed="false">
      <c r="A146" s="179" t="str">
        <f aca="false">Tracker!F147</f>
        <v>CM.C4i.10.1</v>
      </c>
      <c r="B146" s="179" t="str">
        <f aca="false">Tracker!G147</f>
        <v>C4i status reporting to Project Director maintained (recurring)</v>
      </c>
      <c r="C146" s="179" t="str">
        <f aca="false">TRIM(Tracker!D147)</f>
        <v>C4i</v>
      </c>
      <c r="D146" s="179" t="str">
        <f aca="false">IF(TRIM(Tracker!J147)="",Tracker!I147,Tracker!J147)</f>
        <v>Teymur</v>
      </c>
      <c r="E146" s="180" t="n">
        <f aca="false">IF(ISNUMBER(Tracker!K147),Tracker!K147,IF(ISNUMBER(Tracker!L147),Tracker!L147,0))</f>
        <v>46209</v>
      </c>
      <c r="F146" s="180" t="n">
        <f aca="false">IF(ISNUMBER(Tracker!L147),Tracker!L147,IF(ISNUMBER(Tracker!K147),Tracker!K147,0))</f>
        <v>46507</v>
      </c>
      <c r="DU146" s="0" t="str">
        <f aca="false">Tracker!M147</f>
        <v>On Track</v>
      </c>
    </row>
    <row r="147" customFormat="false" ht="15" hidden="false" customHeight="false" outlineLevel="1" collapsed="false">
      <c r="A147" s="179" t="str">
        <f aca="false">Tracker!F148</f>
        <v>CM.C4i.10.2</v>
      </c>
      <c r="B147" s="179" t="str">
        <f aca="false">Tracker!G148</f>
        <v>C4i document register and version control maintained (recurring)</v>
      </c>
      <c r="C147" s="179" t="str">
        <f aca="false">TRIM(Tracker!D148)</f>
        <v>C4i</v>
      </c>
      <c r="D147" s="179" t="str">
        <f aca="false">IF(TRIM(Tracker!J148)="",Tracker!I148,Tracker!J148)</f>
        <v>Teymur</v>
      </c>
      <c r="E147" s="180" t="n">
        <f aca="false">IF(ISNUMBER(Tracker!K148),Tracker!K148,IF(ISNUMBER(Tracker!L148),Tracker!L148,0))</f>
        <v>46209</v>
      </c>
      <c r="F147" s="180" t="n">
        <f aca="false">IF(ISNUMBER(Tracker!L148),Tracker!L148,IF(ISNUMBER(Tracker!K148),Tracker!K148,0))</f>
        <v>46507</v>
      </c>
      <c r="DU147" s="0" t="str">
        <f aca="false">Tracker!M148</f>
        <v>On Track</v>
      </c>
    </row>
    <row r="148" customFormat="false" ht="15" hidden="false" customHeight="false" outlineLevel="1" collapsed="false">
      <c r="A148" s="179" t="str">
        <f aca="false">Tracker!F149</f>
        <v>CM.C4i.10.3</v>
      </c>
      <c r="B148" s="179" t="str">
        <f aca="false">Tracker!G149</f>
        <v>MOC performance measures and reporting dashboard defined</v>
      </c>
      <c r="C148" s="179" t="str">
        <f aca="false">TRIM(Tracker!D149)</f>
        <v>C4i</v>
      </c>
      <c r="D148" s="179" t="str">
        <f aca="false">IF(TRIM(Tracker!J149)="",Tracker!I149,Tracker!J149)</f>
        <v>Teymur</v>
      </c>
      <c r="E148" s="180" t="n">
        <f aca="false">IF(ISNUMBER(Tracker!K149),Tracker!K149,IF(ISNUMBER(Tracker!L149),Tracker!L149,0))</f>
        <v>46357</v>
      </c>
      <c r="F148" s="180" t="n">
        <f aca="false">IF(ISNUMBER(Tracker!L149),Tracker!L149,IF(ISNUMBER(Tracker!K149),Tracker!K149,0))</f>
        <v>46446</v>
      </c>
      <c r="DU148" s="0" t="str">
        <f aca="false">Tracker!M149</f>
        <v>Not Started</v>
      </c>
    </row>
    <row r="149" customFormat="false" ht="15" hidden="false" customHeight="false" outlineLevel="1" collapsed="false">
      <c r="A149" s="179" t="str">
        <f aca="false">Tracker!F150</f>
        <v>CM.C4i.10.4</v>
      </c>
      <c r="B149" s="179" t="str">
        <f aca="false">Tracker!G150</f>
        <v>Knowledge transfer and capability handover to EX27 teams</v>
      </c>
      <c r="C149" s="179" t="str">
        <f aca="false">TRIM(Tracker!D150)</f>
        <v>C4i</v>
      </c>
      <c r="D149" s="179" t="str">
        <f aca="false">IF(TRIM(Tracker!J150)="",Tracker!I150,Tracker!J150)</f>
        <v>Teymur</v>
      </c>
      <c r="E149" s="180" t="n">
        <f aca="false">IF(ISNUMBER(Tracker!K150),Tracker!K150,IF(ISNUMBER(Tracker!L150),Tracker!L150,0))</f>
        <v>46419</v>
      </c>
      <c r="F149" s="180" t="n">
        <f aca="false">IF(ISNUMBER(Tracker!L150),Tracker!L150,IF(ISNUMBER(Tracker!K150),Tracker!K150,0))</f>
        <v>46507</v>
      </c>
      <c r="DU149" s="0" t="str">
        <f aca="false">Tracker!M150</f>
        <v>Not Started</v>
      </c>
    </row>
    <row r="150" customFormat="false" ht="15" hidden="false" customHeight="false" outlineLevel="1" collapsed="false">
      <c r="A150" s="179" t="str">
        <f aca="false">Tracker!F151</f>
        <v>CM.C4i.10.5</v>
      </c>
      <c r="B150" s="179" t="str">
        <f aca="false">Tracker!G151</f>
        <v>Intellectual Property and document handover process agreed and executed</v>
      </c>
      <c r="C150" s="179" t="str">
        <f aca="false">TRIM(Tracker!D151)</f>
        <v>C4i</v>
      </c>
      <c r="D150" s="179" t="str">
        <f aca="false">IF(TRIM(Tracker!J151)="",Tracker!I151,Tracker!J151)</f>
        <v>Teymur</v>
      </c>
      <c r="E150" s="180" t="n">
        <f aca="false">IF(ISNUMBER(Tracker!K151),Tracker!K151,IF(ISNUMBER(Tracker!L151),Tracker!L151,0))</f>
        <v>46266</v>
      </c>
      <c r="F150" s="180" t="n">
        <f aca="false">IF(ISNUMBER(Tracker!L151),Tracker!L151,IF(ISNUMBER(Tracker!K151),Tracker!K151,0))</f>
        <v>46507</v>
      </c>
      <c r="DU150" s="0" t="str">
        <f aca="false">Tracker!M151</f>
        <v>Not Started</v>
      </c>
    </row>
    <row r="151" customFormat="false" ht="15.75" hidden="false" customHeight="true" outlineLevel="0" collapsed="false">
      <c r="A151" s="175"/>
      <c r="B151" s="176" t="s">
        <v>1358</v>
      </c>
      <c r="C151" s="176" t="s">
        <v>1358</v>
      </c>
      <c r="D151" s="175"/>
      <c r="E151" s="177" t="n">
        <f aca="false">IFERROR(_xlfn.MINIFS(E152:E152,E152:E152,"&gt;0"),0)</f>
        <v>0</v>
      </c>
      <c r="F151" s="177" t="n">
        <f aca="false">IFERROR(_xlfn.MAXIFS(F152:F152,F152:F152,"&gt;0"),0)</f>
        <v>0</v>
      </c>
      <c r="DU151" s="178" t="s">
        <v>1357</v>
      </c>
    </row>
    <row r="152" customFormat="false" ht="15" hidden="false" customHeight="false" outlineLevel="1" collapsed="false">
      <c r="A152" s="179" t="n">
        <f aca="false">Tracker!F152</f>
        <v>0</v>
      </c>
      <c r="B152" s="179" t="str">
        <f aca="false">Tracker!G152</f>
        <v>Site Handover Plan </v>
      </c>
      <c r="C152" s="179" t="str">
        <f aca="false">TRIM(Tracker!D152)</f>
        <v>Design &amp; Construction</v>
      </c>
      <c r="D152" s="179" t="str">
        <f aca="false">IF(TRIM(Tracker!J152)="",Tracker!I152,Tracker!J152)</f>
        <v>David </v>
      </c>
      <c r="E152" s="180" t="n">
        <f aca="false">IF(ISNUMBER(Tracker!K152),Tracker!K152,IF(ISNUMBER(Tracker!L152),Tracker!L152,0))</f>
        <v>0</v>
      </c>
      <c r="F152" s="180" t="n">
        <f aca="false">IF(ISNUMBER(Tracker!L152),Tracker!L152,IF(ISNUMBER(Tracker!K152),Tracker!K152,0))</f>
        <v>0</v>
      </c>
      <c r="DU152" s="0" t="str">
        <f aca="false">Tracker!M152</f>
        <v>Complete</v>
      </c>
    </row>
    <row r="153" customFormat="false" ht="15.75" hidden="false" customHeight="true" outlineLevel="0" collapsed="false">
      <c r="A153" s="175"/>
      <c r="B153" s="176" t="s">
        <v>574</v>
      </c>
      <c r="C153" s="176" t="s">
        <v>574</v>
      </c>
      <c r="D153" s="175"/>
      <c r="E153" s="177" t="n">
        <f aca="false">IFERROR(_xlfn.MINIFS(E154:E159,E154:E159,"&gt;0"),0)</f>
        <v>46296</v>
      </c>
      <c r="F153" s="177" t="n">
        <f aca="false">IFERROR(_xlfn.MAXIFS(F154:F159,F154:F159,"&gt;0"),0)</f>
        <v>46508</v>
      </c>
      <c r="DU153" s="178" t="s">
        <v>1357</v>
      </c>
    </row>
    <row r="154" customFormat="false" ht="15" hidden="false" customHeight="false" outlineLevel="1" collapsed="false">
      <c r="A154" s="179" t="str">
        <f aca="false">Tracker!F153</f>
        <v>KM.116</v>
      </c>
      <c r="B154" s="179" t="str">
        <f aca="false">Tracker!G153</f>
        <v>Final Zone Operating Plan Version Approved</v>
      </c>
      <c r="C154" s="179" t="str">
        <f aca="false">TRIM(Tracker!D153)</f>
        <v>Event &amp; Venue Management</v>
      </c>
      <c r="D154" s="179" t="str">
        <f aca="false">IF(TRIM(Tracker!J153)="",Tracker!I153,Tracker!J153)</f>
        <v>Department Led</v>
      </c>
      <c r="E154" s="180" t="n">
        <f aca="false">IF(ISNUMBER(Tracker!K153),Tracker!K153,IF(ISNUMBER(Tracker!L153),Tracker!L153,0))</f>
        <v>46447</v>
      </c>
      <c r="F154" s="180" t="n">
        <f aca="false">IF(ISNUMBER(Tracker!L153),Tracker!L153,IF(ISNUMBER(Tracker!K153),Tracker!K153,0))</f>
        <v>46447</v>
      </c>
      <c r="DU154" s="0" t="str">
        <f aca="false">Tracker!M153</f>
        <v>No Update Received</v>
      </c>
    </row>
    <row r="155" customFormat="false" ht="15" hidden="false" customHeight="false" outlineLevel="1" collapsed="false">
      <c r="A155" s="179" t="str">
        <f aca="false">Tracker!F154</f>
        <v>KM.126</v>
      </c>
      <c r="B155" s="179" t="str">
        <f aca="false">Tracker!G154</f>
        <v>Venue Management On- Site Operations Commence</v>
      </c>
      <c r="C155" s="179" t="str">
        <f aca="false">TRIM(Tracker!D154)</f>
        <v>Event &amp; Venue Management</v>
      </c>
      <c r="D155" s="179" t="str">
        <f aca="false">IF(TRIM(Tracker!J154)="",Tracker!I154,Tracker!J154)</f>
        <v>Department Led</v>
      </c>
      <c r="E155" s="180" t="n">
        <f aca="false">IF(ISNUMBER(Tracker!K154),Tracker!K154,IF(ISNUMBER(Tracker!L154),Tracker!L154,0))</f>
        <v>46508</v>
      </c>
      <c r="F155" s="180" t="n">
        <f aca="false">IF(ISNUMBER(Tracker!L154),Tracker!L154,IF(ISNUMBER(Tracker!K154),Tracker!K154,0))</f>
        <v>46508</v>
      </c>
      <c r="DU155" s="0" t="str">
        <f aca="false">Tracker!M154</f>
        <v>No Update Received</v>
      </c>
    </row>
    <row r="156" customFormat="false" ht="15" hidden="false" customHeight="false" outlineLevel="1" collapsed="false">
      <c r="A156" s="179" t="str">
        <f aca="false">Tracker!F155</f>
        <v>KM.137</v>
      </c>
      <c r="B156" s="179" t="str">
        <f aca="false">Tracker!G155</f>
        <v>All Venues Fitness Certificate Approved</v>
      </c>
      <c r="C156" s="179" t="str">
        <f aca="false">TRIM(Tracker!D155)</f>
        <v>Event &amp; Venue Management</v>
      </c>
      <c r="D156" s="179" t="str">
        <f aca="false">IF(TRIM(Tracker!J155)="",Tracker!I155,Tracker!J155)</f>
        <v>Department Led</v>
      </c>
      <c r="E156" s="180" t="n">
        <f aca="false">IF(ISNUMBER(Tracker!K155),Tracker!K155,IF(ISNUMBER(Tracker!L155),Tracker!L155,0))</f>
        <v>0</v>
      </c>
      <c r="F156" s="180" t="n">
        <f aca="false">IF(ISNUMBER(Tracker!L155),Tracker!L155,IF(ISNUMBER(Tracker!K155),Tracker!K155,0))</f>
        <v>0</v>
      </c>
      <c r="DU156" s="0" t="str">
        <f aca="false">Tracker!M155</f>
        <v>No Update Received</v>
      </c>
    </row>
    <row r="157" customFormat="false" ht="15" hidden="false" customHeight="false" outlineLevel="1" collapsed="false">
      <c r="A157" s="179" t="str">
        <f aca="false">Tracker!F156</f>
        <v>KM.138</v>
      </c>
      <c r="B157" s="179" t="str">
        <f aca="false">Tracker!G156</f>
        <v>Final All International Participants Operating Plans Approved</v>
      </c>
      <c r="C157" s="179" t="str">
        <f aca="false">TRIM(Tracker!D156)</f>
        <v>Event &amp; Venue Management</v>
      </c>
      <c r="D157" s="179" t="str">
        <f aca="false">IF(TRIM(Tracker!J156)="",Tracker!I156,Tracker!J156)</f>
        <v>Department Led</v>
      </c>
      <c r="E157" s="180" t="n">
        <f aca="false">IF(ISNUMBER(Tracker!K156),Tracker!K156,IF(ISNUMBER(Tracker!L156),Tracker!L156,0))</f>
        <v>0</v>
      </c>
      <c r="F157" s="180" t="n">
        <f aca="false">IF(ISNUMBER(Tracker!L156),Tracker!L156,IF(ISNUMBER(Tracker!K156),Tracker!K156,0))</f>
        <v>0</v>
      </c>
      <c r="DU157" s="0" t="str">
        <f aca="false">Tracker!M156</f>
        <v>No Update Received</v>
      </c>
    </row>
    <row r="158" customFormat="false" ht="15" hidden="false" customHeight="false" outlineLevel="1" collapsed="false">
      <c r="A158" s="179" t="str">
        <f aca="false">Tracker!F157</f>
        <v>KM.139</v>
      </c>
      <c r="B158" s="179" t="str">
        <f aca="false">Tracker!G157</f>
        <v>Final C4 Conops Approved</v>
      </c>
      <c r="C158" s="179" t="str">
        <f aca="false">TRIM(Tracker!D157)</f>
        <v>Event &amp; Venue Management</v>
      </c>
      <c r="D158" s="179" t="str">
        <f aca="false">IF(TRIM(Tracker!J157)="",Tracker!I157,Tracker!J157)</f>
        <v>Department Led</v>
      </c>
      <c r="E158" s="180" t="n">
        <f aca="false">IF(ISNUMBER(Tracker!K157),Tracker!K157,IF(ISNUMBER(Tracker!L157),Tracker!L157,0))</f>
        <v>0</v>
      </c>
      <c r="F158" s="180" t="n">
        <f aca="false">IF(ISNUMBER(Tracker!L157),Tracker!L157,IF(ISNUMBER(Tracker!K157),Tracker!K157,0))</f>
        <v>0</v>
      </c>
      <c r="DU158" s="0" t="str">
        <f aca="false">Tracker!M157</f>
        <v>No Update Received</v>
      </c>
    </row>
    <row r="159" customFormat="false" ht="15" hidden="false" customHeight="false" outlineLevel="1" collapsed="false">
      <c r="A159" s="179" t="str">
        <f aca="false">Tracker!F158</f>
        <v>KM.143</v>
      </c>
      <c r="B159" s="179" t="str">
        <f aca="false">Tracker!G158</f>
        <v>All Operations Guides Published</v>
      </c>
      <c r="C159" s="179" t="str">
        <f aca="false">TRIM(Tracker!D158)</f>
        <v>Event &amp; Venue Management</v>
      </c>
      <c r="D159" s="179" t="str">
        <f aca="false">IF(TRIM(Tracker!J158)="",Tracker!I158,Tracker!J158)</f>
        <v>Department Led</v>
      </c>
      <c r="E159" s="180" t="n">
        <f aca="false">IF(ISNUMBER(Tracker!K158),Tracker!K158,IF(ISNUMBER(Tracker!L158),Tracker!L158,0))</f>
        <v>46296</v>
      </c>
      <c r="F159" s="180" t="n">
        <f aca="false">IF(ISNUMBER(Tracker!L158),Tracker!L158,IF(ISNUMBER(Tracker!K158),Tracker!K158,0))</f>
        <v>46296</v>
      </c>
      <c r="DU159" s="0" t="str">
        <f aca="false">Tracker!M158</f>
        <v>On Track</v>
      </c>
    </row>
    <row r="160" customFormat="false" ht="15.75" hidden="false" customHeight="true" outlineLevel="0" collapsed="false">
      <c r="A160" s="175"/>
      <c r="B160" s="176" t="s">
        <v>588</v>
      </c>
      <c r="C160" s="176" t="s">
        <v>588</v>
      </c>
      <c r="D160" s="175"/>
      <c r="E160" s="177" t="n">
        <f aca="false">IFERROR(_xlfn.MINIFS(E161:E167,E161:E167,"&gt;0"),0)</f>
        <v>46218</v>
      </c>
      <c r="F160" s="177" t="n">
        <f aca="false">IFERROR(_xlfn.MAXIFS(F161:F167,F161:F167,"&gt;0"),0)</f>
        <v>46447</v>
      </c>
      <c r="DU160" s="178" t="s">
        <v>1357</v>
      </c>
    </row>
    <row r="161" customFormat="false" ht="15" hidden="false" customHeight="false" outlineLevel="1" collapsed="false">
      <c r="A161" s="179" t="str">
        <f aca="false">Tracker!F159</f>
        <v>KM.107</v>
      </c>
      <c r="B161" s="179" t="str">
        <f aca="false">Tracker!G159</f>
        <v>EXPO Village Operator Awarded</v>
      </c>
      <c r="C161" s="179" t="str">
        <f aca="false">TRIM(Tracker!D159)</f>
        <v>EXPO Village Ops</v>
      </c>
      <c r="D161" s="179" t="str">
        <f aca="false">IF(TRIM(Tracker!J159)="",Tracker!I159,Tracker!J159)</f>
        <v>Department Led</v>
      </c>
      <c r="E161" s="180" t="n">
        <f aca="false">IF(ISNUMBER(Tracker!K159),Tracker!K159,IF(ISNUMBER(Tracker!L159),Tracker!L159,0))</f>
        <v>46218</v>
      </c>
      <c r="F161" s="180" t="n">
        <f aca="false">IF(ISNUMBER(Tracker!L159),Tracker!L159,IF(ISNUMBER(Tracker!K159),Tracker!K159,0))</f>
        <v>46218</v>
      </c>
      <c r="DU161" s="0" t="str">
        <f aca="false">Tracker!M159</f>
        <v>At Risk</v>
      </c>
    </row>
    <row r="162" customFormat="false" ht="15" hidden="false" customHeight="false" outlineLevel="1" collapsed="false">
      <c r="A162" s="179" t="str">
        <f aca="false">Tracker!F160</f>
        <v>KM.115</v>
      </c>
      <c r="B162" s="179" t="str">
        <f aca="false">Tracker!G160</f>
        <v>Expo Village Fully Operational</v>
      </c>
      <c r="C162" s="179" t="str">
        <f aca="false">TRIM(Tracker!D160)</f>
        <v>EXPO Village Ops</v>
      </c>
      <c r="D162" s="179" t="str">
        <f aca="false">IF(TRIM(Tracker!J160)="",Tracker!I160,Tracker!J160)</f>
        <v>Department Led</v>
      </c>
      <c r="E162" s="180" t="n">
        <f aca="false">IF(ISNUMBER(Tracker!K160),Tracker!K160,IF(ISNUMBER(Tracker!L160),Tracker!L160,0))</f>
        <v>46447</v>
      </c>
      <c r="F162" s="180" t="n">
        <f aca="false">IF(ISNUMBER(Tracker!L160),Tracker!L160,IF(ISNUMBER(Tracker!K160),Tracker!K160,0))</f>
        <v>46447</v>
      </c>
      <c r="DU162" s="0" t="str">
        <f aca="false">Tracker!M160</f>
        <v>On Track</v>
      </c>
    </row>
    <row r="163" customFormat="false" ht="15" hidden="false" customHeight="false" outlineLevel="1" collapsed="false">
      <c r="A163" s="179" t="str">
        <f aca="false">Tracker!F161</f>
        <v>KM.141</v>
      </c>
      <c r="B163" s="179" t="str">
        <f aca="false">Tracker!G161</f>
        <v>Partial Expo Village Operations Commence</v>
      </c>
      <c r="C163" s="179" t="str">
        <f aca="false">TRIM(Tracker!D161)</f>
        <v>EXPO Village Ops</v>
      </c>
      <c r="D163" s="179" t="str">
        <f aca="false">IF(TRIM(Tracker!J161)="",Tracker!I161,Tracker!J161)</f>
        <v>Department Led</v>
      </c>
      <c r="E163" s="180" t="n">
        <f aca="false">IF(ISNUMBER(Tracker!K161),Tracker!K161,IF(ISNUMBER(Tracker!L161),Tracker!L161,0))</f>
        <v>46296</v>
      </c>
      <c r="F163" s="180" t="n">
        <f aca="false">IF(ISNUMBER(Tracker!L161),Tracker!L161,IF(ISNUMBER(Tracker!K161),Tracker!K161,0))</f>
        <v>46296</v>
      </c>
      <c r="DU163" s="0" t="str">
        <f aca="false">Tracker!M161</f>
        <v>On Track</v>
      </c>
    </row>
    <row r="164" customFormat="false" ht="15" hidden="false" customHeight="false" outlineLevel="1" collapsed="false">
      <c r="A164" s="179" t="str">
        <f aca="false">Tracker!F162</f>
        <v>NEW</v>
      </c>
      <c r="B164" s="179" t="str">
        <f aca="false">Tracker!G162</f>
        <v>Technical Certification Complete</v>
      </c>
      <c r="C164" s="179" t="str">
        <f aca="false">TRIM(Tracker!D162)</f>
        <v>EXPO Village Ops</v>
      </c>
      <c r="D164" s="179" t="str">
        <f aca="false">IF(TRIM(Tracker!J162)="",Tracker!I162,Tracker!J162)</f>
        <v>Department Led</v>
      </c>
      <c r="E164" s="180" t="n">
        <f aca="false">IF(ISNUMBER(Tracker!K162),Tracker!K162,IF(ISNUMBER(Tracker!L162),Tracker!L162,0))</f>
        <v>0</v>
      </c>
      <c r="F164" s="180" t="n">
        <f aca="false">IF(ISNUMBER(Tracker!L162),Tracker!L162,IF(ISNUMBER(Tracker!K162),Tracker!K162,0))</f>
        <v>0</v>
      </c>
      <c r="DU164" s="0" t="str">
        <f aca="false">Tracker!M162</f>
        <v>No Update Received</v>
      </c>
    </row>
    <row r="165" customFormat="false" ht="15" hidden="false" customHeight="false" outlineLevel="1" collapsed="false">
      <c r="A165" s="179" t="str">
        <f aca="false">Tracker!F163</f>
        <v>NEW</v>
      </c>
      <c r="B165" s="179" t="str">
        <f aca="false">Tracker!G163</f>
        <v>Expo Village Apartment Handover</v>
      </c>
      <c r="C165" s="179" t="str">
        <f aca="false">TRIM(Tracker!D163)</f>
        <v>EXPO Village Ops</v>
      </c>
      <c r="D165" s="179" t="str">
        <f aca="false">IF(TRIM(Tracker!J163)="",Tracker!I163,Tracker!J163)</f>
        <v>Department Led</v>
      </c>
      <c r="E165" s="180" t="n">
        <f aca="false">IF(ISNUMBER(Tracker!K163),Tracker!K163,IF(ISNUMBER(Tracker!L163),Tracker!L163,0))</f>
        <v>46266</v>
      </c>
      <c r="F165" s="180" t="n">
        <f aca="false">IF(ISNUMBER(Tracker!L163),Tracker!L163,IF(ISNUMBER(Tracker!K163),Tracker!K163,0))</f>
        <v>46266</v>
      </c>
      <c r="DU165" s="0" t="str">
        <f aca="false">Tracker!M163</f>
        <v>Not Started</v>
      </c>
    </row>
    <row r="166" customFormat="false" ht="15" hidden="false" customHeight="false" outlineLevel="1" collapsed="false">
      <c r="A166" s="179" t="str">
        <f aca="false">Tracker!F164</f>
        <v>NEW</v>
      </c>
      <c r="B166" s="179" t="str">
        <f aca="false">Tracker!G164</f>
        <v>Expo Village First Guests </v>
      </c>
      <c r="C166" s="179" t="str">
        <f aca="false">TRIM(Tracker!D164)</f>
        <v>EXPO Village Ops</v>
      </c>
      <c r="D166" s="179" t="str">
        <f aca="false">IF(TRIM(Tracker!J164)="",Tracker!I164,Tracker!J164)</f>
        <v>Department Led</v>
      </c>
      <c r="E166" s="180" t="n">
        <f aca="false">IF(ISNUMBER(Tracker!K164),Tracker!K164,IF(ISNUMBER(Tracker!L164),Tracker!L164,0))</f>
        <v>46310</v>
      </c>
      <c r="F166" s="180" t="n">
        <f aca="false">IF(ISNUMBER(Tracker!L164),Tracker!L164,IF(ISNUMBER(Tracker!K164),Tracker!K164,0))</f>
        <v>46310</v>
      </c>
      <c r="DU166" s="0" t="str">
        <f aca="false">Tracker!M164</f>
        <v>Not Started</v>
      </c>
    </row>
    <row r="167" customFormat="false" ht="15" hidden="false" customHeight="false" outlineLevel="1" collapsed="false">
      <c r="A167" s="179" t="str">
        <f aca="false">Tracker!F165</f>
        <v>NEW</v>
      </c>
      <c r="B167" s="179" t="str">
        <f aca="false">Tracker!G165</f>
        <v>VOC Operational</v>
      </c>
      <c r="C167" s="179" t="str">
        <f aca="false">TRIM(Tracker!D165)</f>
        <v>EXPO Village Ops</v>
      </c>
      <c r="D167" s="179" t="str">
        <f aca="false">IF(TRIM(Tracker!J165)="",Tracker!I165,Tracker!J165)</f>
        <v>Department Led</v>
      </c>
      <c r="E167" s="180" t="n">
        <f aca="false">IF(ISNUMBER(Tracker!K165),Tracker!K165,IF(ISNUMBER(Tracker!L165),Tracker!L165,0))</f>
        <v>0</v>
      </c>
      <c r="F167" s="180" t="n">
        <f aca="false">IF(ISNUMBER(Tracker!L165),Tracker!L165,IF(ISNUMBER(Tracker!K165),Tracker!K165,0))</f>
        <v>0</v>
      </c>
      <c r="DU167" s="178" t="n">
        <f aca="false">Tracker!M165</f>
        <v>0</v>
      </c>
    </row>
    <row r="168" customFormat="false" ht="15.75" hidden="false" customHeight="true" outlineLevel="0" collapsed="false">
      <c r="A168" s="175"/>
      <c r="B168" s="176" t="s">
        <v>601</v>
      </c>
      <c r="C168" s="176" t="s">
        <v>601</v>
      </c>
      <c r="D168" s="175"/>
      <c r="E168" s="177" t="n">
        <f aca="false">IFERROR(_xlfn.MINIFS(E169:E169,E169:E169,"&gt;0"),0)</f>
        <v>46402</v>
      </c>
      <c r="F168" s="177" t="n">
        <f aca="false">IFERROR(_xlfn.MAXIFS(F169:F169,F169:F169,"&gt;0"),0)</f>
        <v>46402</v>
      </c>
      <c r="DU168" s="178" t="s">
        <v>1357</v>
      </c>
    </row>
    <row r="169" customFormat="false" ht="15" hidden="false" customHeight="false" outlineLevel="1" collapsed="false">
      <c r="A169" s="179" t="str">
        <f aca="false">Tracker!F166</f>
        <v>KM.2</v>
      </c>
      <c r="B169" s="179" t="str">
        <f aca="false">Tracker!G166</f>
        <v>Event-Time Budget Approved</v>
      </c>
      <c r="C169" s="179" t="str">
        <f aca="false">TRIM(Tracker!D166)</f>
        <v>Finance</v>
      </c>
      <c r="D169" s="179" t="str">
        <f aca="false">IF(TRIM(Tracker!J166)="",Tracker!I166,Tracker!J166)</f>
        <v>Department Led</v>
      </c>
      <c r="E169" s="180" t="n">
        <f aca="false">IF(ISNUMBER(Tracker!K166),Tracker!K166,IF(ISNUMBER(Tracker!L166),Tracker!L166,0))</f>
        <v>46402</v>
      </c>
      <c r="F169" s="180" t="n">
        <f aca="false">IF(ISNUMBER(Tracker!L166),Tracker!L166,IF(ISNUMBER(Tracker!K166),Tracker!K166,0))</f>
        <v>46402</v>
      </c>
      <c r="DU169" s="0" t="str">
        <f aca="false">Tracker!M166</f>
        <v>No Update Received</v>
      </c>
    </row>
    <row r="170" customFormat="false" ht="15.75" hidden="false" customHeight="true" outlineLevel="0" collapsed="false">
      <c r="A170" s="175"/>
      <c r="B170" s="176" t="s">
        <v>605</v>
      </c>
      <c r="C170" s="176" t="s">
        <v>605</v>
      </c>
      <c r="D170" s="175"/>
      <c r="E170" s="177" t="n">
        <f aca="false">IFERROR(_xlfn.MINIFS(E171:E204,E171:E204,"&gt;0"),0)</f>
        <v>45960</v>
      </c>
      <c r="F170" s="177" t="n">
        <f aca="false">IFERROR(_xlfn.MAXIFS(F171:F204,F171:F204,"&gt;0"),0)</f>
        <v>46539</v>
      </c>
      <c r="DU170" s="178" t="s">
        <v>1357</v>
      </c>
    </row>
    <row r="171" customFormat="false" ht="15" hidden="false" customHeight="false" outlineLevel="1" collapsed="false">
      <c r="A171" s="179" t="str">
        <f aca="false">Tracker!F167</f>
        <v>KM.97</v>
      </c>
      <c r="B171" s="179" t="str">
        <f aca="false">Tracker!G167</f>
        <v>Operations Strategy Approved</v>
      </c>
      <c r="C171" s="179" t="str">
        <f aca="false">TRIM(Tracker!D167)</f>
        <v>FMT-CAW</v>
      </c>
      <c r="D171" s="179" t="str">
        <f aca="false">IF(TRIM(Tracker!J167)="",Tracker!I167,Tracker!J167)</f>
        <v>Department Led</v>
      </c>
      <c r="E171" s="180" t="n">
        <f aca="false">IF(ISNUMBER(Tracker!K167),Tracker!K167,IF(ISNUMBER(Tracker!L167),Tracker!L167,0))</f>
        <v>45960</v>
      </c>
      <c r="F171" s="180" t="n">
        <f aca="false">IF(ISNUMBER(Tracker!L167),Tracker!L167,IF(ISNUMBER(Tracker!K167),Tracker!K167,0))</f>
        <v>45960</v>
      </c>
      <c r="DU171" s="0" t="str">
        <f aca="false">Tracker!M167</f>
        <v>Complete</v>
      </c>
    </row>
    <row r="172" customFormat="false" ht="15" hidden="false" customHeight="false" outlineLevel="1" collapsed="false">
      <c r="A172" s="179" t="str">
        <f aca="false">Tracker!F168</f>
        <v>KM.101</v>
      </c>
      <c r="B172" s="179" t="str">
        <f aca="false">Tracker!G168</f>
        <v>Operational Plan Approved</v>
      </c>
      <c r="C172" s="179" t="str">
        <f aca="false">TRIM(Tracker!D168)</f>
        <v>FMT-CAW</v>
      </c>
      <c r="D172" s="179" t="str">
        <f aca="false">IF(TRIM(Tracker!J168)="",Tracker!I168,Tracker!J168)</f>
        <v>Department Led</v>
      </c>
      <c r="E172" s="180" t="n">
        <f aca="false">IF(ISNUMBER(Tracker!K168),Tracker!K168,IF(ISNUMBER(Tracker!L168),Tracker!L168,0))</f>
        <v>46054</v>
      </c>
      <c r="F172" s="180" t="n">
        <f aca="false">IF(ISNUMBER(Tracker!L168),Tracker!L168,IF(ISNUMBER(Tracker!K168),Tracker!K168,0))</f>
        <v>46054</v>
      </c>
      <c r="DU172" s="0" t="str">
        <f aca="false">Tracker!M168</f>
        <v>Complete</v>
      </c>
    </row>
    <row r="173" customFormat="false" ht="15" hidden="false" customHeight="false" outlineLevel="1" collapsed="false">
      <c r="A173" s="179" t="str">
        <f aca="false">Tracker!F169</f>
        <v>KM.103</v>
      </c>
      <c r="B173" s="179" t="str">
        <f aca="false">Tracker!G169</f>
        <v>Service Providers Contracted and Started Work</v>
      </c>
      <c r="C173" s="179" t="str">
        <f aca="false">TRIM(Tracker!D169)</f>
        <v>FMT-CAW</v>
      </c>
      <c r="D173" s="179" t="str">
        <f aca="false">IF(TRIM(Tracker!J169)="",Tracker!I169,Tracker!J169)</f>
        <v>Department Led</v>
      </c>
      <c r="E173" s="180" t="n">
        <f aca="false">IF(ISNUMBER(Tracker!K169),Tracker!K169,IF(ISNUMBER(Tracker!L169),Tracker!L169,0))</f>
        <v>46266</v>
      </c>
      <c r="F173" s="180" t="n">
        <f aca="false">IF(ISNUMBER(Tracker!L169),Tracker!L169,IF(ISNUMBER(Tracker!K169),Tracker!K169,0))</f>
        <v>46266</v>
      </c>
      <c r="DU173" s="0" t="str">
        <f aca="false">Tracker!M169</f>
        <v>On Track</v>
      </c>
    </row>
    <row r="174" customFormat="false" ht="15" hidden="false" customHeight="false" outlineLevel="1" collapsed="false">
      <c r="A174" s="179" t="str">
        <f aca="false">Tracker!F170</f>
        <v>KM.106</v>
      </c>
      <c r="B174" s="179" t="str">
        <f aca="false">Tracker!G170</f>
        <v>FM Operations On Site Commence</v>
      </c>
      <c r="C174" s="179" t="str">
        <f aca="false">TRIM(Tracker!D170)</f>
        <v>FMT-CAW</v>
      </c>
      <c r="D174" s="179" t="str">
        <f aca="false">IF(TRIM(Tracker!J170)="",Tracker!I170,Tracker!J170)</f>
        <v>Department Led</v>
      </c>
      <c r="E174" s="180" t="n">
        <f aca="false">IF(ISNUMBER(Tracker!K170),Tracker!K170,IF(ISNUMBER(Tracker!L170),Tracker!L170,0))</f>
        <v>46204</v>
      </c>
      <c r="F174" s="180" t="n">
        <f aca="false">IF(ISNUMBER(Tracker!L170),Tracker!L170,IF(ISNUMBER(Tracker!K170),Tracker!K170,0))</f>
        <v>46204</v>
      </c>
      <c r="DU174" s="0" t="str">
        <f aca="false">Tracker!M170</f>
        <v>On Track</v>
      </c>
    </row>
    <row r="175" customFormat="false" ht="15" hidden="false" customHeight="false" outlineLevel="1" collapsed="false">
      <c r="A175" s="179" t="str">
        <f aca="false">Tracker!F171</f>
        <v>KM.120</v>
      </c>
      <c r="B175" s="179" t="str">
        <f aca="false">Tracker!G171</f>
        <v>FM Operator Activities Commence</v>
      </c>
      <c r="C175" s="179" t="str">
        <f aca="false">TRIM(Tracker!D171)</f>
        <v>FMT-CAW</v>
      </c>
      <c r="D175" s="179" t="str">
        <f aca="false">IF(TRIM(Tracker!J171)="",Tracker!I171,Tracker!J171)</f>
        <v>Department Led</v>
      </c>
      <c r="E175" s="180" t="n">
        <f aca="false">IF(ISNUMBER(Tracker!K171),Tracker!K171,IF(ISNUMBER(Tracker!L171),Tracker!L171,0))</f>
        <v>46478</v>
      </c>
      <c r="F175" s="180" t="n">
        <f aca="false">IF(ISNUMBER(Tracker!L171),Tracker!L171,IF(ISNUMBER(Tracker!K171),Tracker!K171,0))</f>
        <v>46478</v>
      </c>
      <c r="DU175" s="0" t="str">
        <f aca="false">Tracker!M171</f>
        <v>On Track</v>
      </c>
    </row>
    <row r="176" customFormat="false" ht="15" hidden="false" customHeight="false" outlineLevel="1" collapsed="false">
      <c r="A176" s="179" t="str">
        <f aca="false">Tracker!F172</f>
        <v>KM.123</v>
      </c>
      <c r="B176" s="179" t="str">
        <f aca="false">Tracker!G172</f>
        <v>Facilities Management &amp; Cleaning &amp; Waste - Event Testing Phase Complete</v>
      </c>
      <c r="C176" s="179" t="str">
        <f aca="false">TRIM(Tracker!D172)</f>
        <v>FMT-CAW</v>
      </c>
      <c r="D176" s="179" t="str">
        <f aca="false">IF(TRIM(Tracker!J172)="",Tracker!I172,Tracker!J172)</f>
        <v>Department Led</v>
      </c>
      <c r="E176" s="180" t="n">
        <f aca="false">IF(ISNUMBER(Tracker!K172),Tracker!K172,IF(ISNUMBER(Tracker!L172),Tracker!L172,0))</f>
        <v>46507</v>
      </c>
      <c r="F176" s="180" t="n">
        <f aca="false">IF(ISNUMBER(Tracker!L172),Tracker!L172,IF(ISNUMBER(Tracker!K172),Tracker!K172,0))</f>
        <v>46507</v>
      </c>
      <c r="DU176" s="0" t="str">
        <f aca="false">Tracker!M172</f>
        <v>On Track</v>
      </c>
    </row>
    <row r="177" customFormat="false" ht="15" hidden="false" customHeight="false" outlineLevel="1" collapsed="false">
      <c r="A177" s="179" t="str">
        <f aca="false">Tracker!F173</f>
        <v>KM.125</v>
      </c>
      <c r="B177" s="179" t="str">
        <f aca="false">Tracker!G173</f>
        <v>Facility Management Operations on Site Commence Fully Operational</v>
      </c>
      <c r="C177" s="179" t="str">
        <f aca="false">TRIM(Tracker!D173)</f>
        <v>FMT-CAW</v>
      </c>
      <c r="D177" s="179" t="str">
        <f aca="false">IF(TRIM(Tracker!J173)="",Tracker!I173,Tracker!J173)</f>
        <v>Department Led</v>
      </c>
      <c r="E177" s="180" t="n">
        <f aca="false">IF(ISNUMBER(Tracker!K173),Tracker!K173,IF(ISNUMBER(Tracker!L173),Tracker!L173,0))</f>
        <v>46508</v>
      </c>
      <c r="F177" s="180" t="n">
        <f aca="false">IF(ISNUMBER(Tracker!L173),Tracker!L173,IF(ISNUMBER(Tracker!K173),Tracker!K173,0))</f>
        <v>46508</v>
      </c>
      <c r="DU177" s="0" t="str">
        <f aca="false">Tracker!M173</f>
        <v>No Update Received</v>
      </c>
    </row>
    <row r="178" customFormat="false" ht="15" hidden="false" customHeight="false" outlineLevel="1" collapsed="false">
      <c r="A178" s="179" t="str">
        <f aca="false">Tracker!F174</f>
        <v>NEW</v>
      </c>
      <c r="B178" s="179" t="str">
        <f aca="false">Tracker!G174</f>
        <v>Landscaping (Grass, Trees &amp; Shrubs) Installation Complete</v>
      </c>
      <c r="C178" s="179" t="str">
        <f aca="false">TRIM(Tracker!D174)</f>
        <v>FMT-CAW</v>
      </c>
      <c r="D178" s="179" t="str">
        <f aca="false">IF(TRIM(Tracker!J174)="",Tracker!I174,Tracker!J174)</f>
        <v>Department Led</v>
      </c>
      <c r="E178" s="180" t="n">
        <f aca="false">IF(ISNUMBER(Tracker!K174),Tracker!K174,IF(ISNUMBER(Tracker!L174),Tracker!L174,0))</f>
        <v>46341</v>
      </c>
      <c r="F178" s="180" t="n">
        <f aca="false">IF(ISNUMBER(Tracker!L174),Tracker!L174,IF(ISNUMBER(Tracker!K174),Tracker!K174,0))</f>
        <v>46341</v>
      </c>
      <c r="DU178" s="0" t="str">
        <f aca="false">Tracker!M174</f>
        <v>Not Started</v>
      </c>
    </row>
    <row r="179" customFormat="false" ht="15" hidden="false" customHeight="false" outlineLevel="1" collapsed="false">
      <c r="A179" s="179" t="str">
        <f aca="false">Tracker!F175</f>
        <v>NEW</v>
      </c>
      <c r="B179" s="179" t="str">
        <f aca="false">Tracker!G175</f>
        <v>Technical Maintenance Plan Approved</v>
      </c>
      <c r="C179" s="179" t="str">
        <f aca="false">TRIM(Tracker!D175)</f>
        <v>FMT-CAW</v>
      </c>
      <c r="D179" s="179" t="str">
        <f aca="false">IF(TRIM(Tracker!J175)="",Tracker!I175,Tracker!J175)</f>
        <v>Department Led</v>
      </c>
      <c r="E179" s="180" t="n">
        <f aca="false">IF(ISNUMBER(Tracker!K175),Tracker!K175,IF(ISNUMBER(Tracker!L175),Tracker!L175,0))</f>
        <v>46310</v>
      </c>
      <c r="F179" s="180" t="n">
        <f aca="false">IF(ISNUMBER(Tracker!L175),Tracker!L175,IF(ISNUMBER(Tracker!K175),Tracker!K175,0))</f>
        <v>46310</v>
      </c>
      <c r="DU179" s="0" t="str">
        <f aca="false">Tracker!M175</f>
        <v>Not Started</v>
      </c>
    </row>
    <row r="180" customFormat="false" ht="15" hidden="false" customHeight="false" outlineLevel="1" collapsed="false">
      <c r="A180" s="179" t="str">
        <f aca="false">Tracker!F176</f>
        <v>NEW</v>
      </c>
      <c r="B180" s="179" t="str">
        <f aca="false">Tracker!G176</f>
        <v>FM Helpdesk Operational</v>
      </c>
      <c r="C180" s="179" t="str">
        <f aca="false">TRIM(Tracker!D176)</f>
        <v>FMT-CAW</v>
      </c>
      <c r="D180" s="179" t="str">
        <f aca="false">IF(TRIM(Tracker!J176)="",Tracker!I176,Tracker!J176)</f>
        <v>Department Led</v>
      </c>
      <c r="E180" s="180" t="n">
        <f aca="false">IF(ISNUMBER(Tracker!K176),Tracker!K176,IF(ISNUMBER(Tracker!L176),Tracker!L176,0))</f>
        <v>46357</v>
      </c>
      <c r="F180" s="180" t="n">
        <f aca="false">IF(ISNUMBER(Tracker!L176),Tracker!L176,IF(ISNUMBER(Tracker!K176),Tracker!K176,0))</f>
        <v>46357</v>
      </c>
      <c r="DU180" s="0" t="str">
        <f aca="false">Tracker!M176</f>
        <v>Not Started</v>
      </c>
    </row>
    <row r="181" customFormat="false" ht="15" hidden="false" customHeight="false" outlineLevel="1" collapsed="false">
      <c r="A181" s="179" t="str">
        <f aca="false">Tracker!F177</f>
        <v>NEW</v>
      </c>
      <c r="B181" s="179" t="str">
        <f aca="false">Tracker!G177</f>
        <v>Waste &amp; Recycling Partner Contracts Signed</v>
      </c>
      <c r="C181" s="179" t="str">
        <f aca="false">TRIM(Tracker!D177)</f>
        <v>FMT-CAW</v>
      </c>
      <c r="D181" s="179" t="str">
        <f aca="false">IF(TRIM(Tracker!J177)="",Tracker!I177,Tracker!J177)</f>
        <v>Department Led</v>
      </c>
      <c r="E181" s="180" t="n">
        <f aca="false">IF(ISNUMBER(Tracker!K177),Tracker!K177,IF(ISNUMBER(Tracker!L177),Tracker!L177,0))</f>
        <v>46295</v>
      </c>
      <c r="F181" s="180" t="n">
        <f aca="false">IF(ISNUMBER(Tracker!L177),Tracker!L177,IF(ISNUMBER(Tracker!K177),Tracker!K177,0))</f>
        <v>46295</v>
      </c>
      <c r="DU181" s="0" t="str">
        <f aca="false">Tracker!M177</f>
        <v>Not Started</v>
      </c>
    </row>
    <row r="182" customFormat="false" ht="15" hidden="false" customHeight="false" outlineLevel="1" collapsed="false">
      <c r="A182" s="179" t="str">
        <f aca="false">Tracker!F178</f>
        <v>NEW</v>
      </c>
      <c r="B182" s="179" t="str">
        <f aca="false">Tracker!G178</f>
        <v>Waste Segregation Plan Approved</v>
      </c>
      <c r="C182" s="179" t="str">
        <f aca="false">TRIM(Tracker!D178)</f>
        <v>FMT-CAW</v>
      </c>
      <c r="D182" s="179" t="str">
        <f aca="false">IF(TRIM(Tracker!J178)="",Tracker!I178,Tracker!J178)</f>
        <v>Department Led</v>
      </c>
      <c r="E182" s="180" t="n">
        <f aca="false">IF(ISNUMBER(Tracker!K178),Tracker!K178,IF(ISNUMBER(Tracker!L178),Tracker!L178,0))</f>
        <v>46296</v>
      </c>
      <c r="F182" s="180" t="n">
        <f aca="false">IF(ISNUMBER(Tracker!L178),Tracker!L178,IF(ISNUMBER(Tracker!K178),Tracker!K178,0))</f>
        <v>46296</v>
      </c>
      <c r="DU182" s="0" t="str">
        <f aca="false">Tracker!M178</f>
        <v>Not Started</v>
      </c>
    </row>
    <row r="183" customFormat="false" ht="15" hidden="false" customHeight="false" outlineLevel="1" collapsed="false">
      <c r="A183" s="179" t="str">
        <f aca="false">Tracker!F179</f>
        <v>NEW</v>
      </c>
      <c r="B183" s="179" t="str">
        <f aca="false">Tracker!G179</f>
        <v>Spill &amp; Hazmat Emergency Response Plan Approved</v>
      </c>
      <c r="C183" s="179" t="str">
        <f aca="false">TRIM(Tracker!D179)</f>
        <v>FMT-CAW</v>
      </c>
      <c r="D183" s="179" t="str">
        <f aca="false">IF(TRIM(Tracker!J179)="",Tracker!I179,Tracker!J179)</f>
        <v>Department Led</v>
      </c>
      <c r="E183" s="180" t="n">
        <f aca="false">IF(ISNUMBER(Tracker!K179),Tracker!K179,IF(ISNUMBER(Tracker!L179),Tracker!L179,0))</f>
        <v>46327</v>
      </c>
      <c r="F183" s="180" t="n">
        <f aca="false">IF(ISNUMBER(Tracker!L179),Tracker!L179,IF(ISNUMBER(Tracker!K179),Tracker!K179,0))</f>
        <v>46327</v>
      </c>
      <c r="DU183" s="0" t="str">
        <f aca="false">Tracker!M179</f>
        <v>Not Started</v>
      </c>
    </row>
    <row r="184" customFormat="false" ht="15" hidden="false" customHeight="false" outlineLevel="1" collapsed="false">
      <c r="A184" s="179" t="str">
        <f aca="false">Tracker!F180</f>
        <v>NEW</v>
      </c>
      <c r="B184" s="179" t="str">
        <f aca="false">Tracker!G180</f>
        <v>Health &amp; Safety Compliance Framework Signed Off</v>
      </c>
      <c r="C184" s="179" t="str">
        <f aca="false">TRIM(Tracker!D180)</f>
        <v>FMT-CAW</v>
      </c>
      <c r="D184" s="179" t="str">
        <f aca="false">IF(TRIM(Tracker!J180)="",Tracker!I180,Tracker!J180)</f>
        <v>Department Led</v>
      </c>
      <c r="E184" s="180" t="n">
        <f aca="false">IF(ISNUMBER(Tracker!K180),Tracker!K180,IF(ISNUMBER(Tracker!L180),Tracker!L180,0))</f>
        <v>46327</v>
      </c>
      <c r="F184" s="180" t="n">
        <f aca="false">IF(ISNUMBER(Tracker!L180),Tracker!L180,IF(ISNUMBER(Tracker!K180),Tracker!K180,0))</f>
        <v>46327</v>
      </c>
      <c r="DU184" s="0" t="str">
        <f aca="false">Tracker!M180</f>
        <v>Not Started</v>
      </c>
    </row>
    <row r="185" customFormat="false" ht="15" hidden="false" customHeight="false" outlineLevel="1" collapsed="false">
      <c r="A185" s="179" t="str">
        <f aca="false">Tracker!F181</f>
        <v>NEW</v>
      </c>
      <c r="B185" s="179" t="str">
        <f aca="false">Tracker!G181</f>
        <v>Machinery Rental &amp; Rate Card Agreements in Place</v>
      </c>
      <c r="C185" s="179" t="str">
        <f aca="false">TRIM(Tracker!D181)</f>
        <v>FMT-CAW</v>
      </c>
      <c r="D185" s="179" t="str">
        <f aca="false">IF(TRIM(Tracker!J181)="",Tracker!I181,Tracker!J181)</f>
        <v>Department Led</v>
      </c>
      <c r="E185" s="180" t="n">
        <f aca="false">IF(ISNUMBER(Tracker!K181),Tracker!K181,IF(ISNUMBER(Tracker!L181),Tracker!L181,0))</f>
        <v>46310</v>
      </c>
      <c r="F185" s="180" t="n">
        <f aca="false">IF(ISNUMBER(Tracker!L181),Tracker!L181,IF(ISNUMBER(Tracker!K181),Tracker!K181,0))</f>
        <v>46310</v>
      </c>
      <c r="DU185" s="0" t="str">
        <f aca="false">Tracker!M181</f>
        <v>Not Started</v>
      </c>
    </row>
    <row r="186" customFormat="false" ht="15" hidden="false" customHeight="false" outlineLevel="1" collapsed="false">
      <c r="A186" s="179" t="str">
        <f aca="false">Tracker!F182</f>
        <v>NEW</v>
      </c>
      <c r="B186" s="179" t="str">
        <f aca="false">Tracker!G182</f>
        <v>Site Handback Standards Agreed</v>
      </c>
      <c r="C186" s="179" t="str">
        <f aca="false">TRIM(Tracker!D182)</f>
        <v>FMT-CAW</v>
      </c>
      <c r="D186" s="179" t="str">
        <f aca="false">IF(TRIM(Tracker!J182)="",Tracker!I182,Tracker!J182)</f>
        <v>Department Led</v>
      </c>
      <c r="E186" s="180" t="n">
        <f aca="false">IF(ISNUMBER(Tracker!K182),Tracker!K182,IF(ISNUMBER(Tracker!L182),Tracker!L182,0))</f>
        <v>46402</v>
      </c>
      <c r="F186" s="180" t="n">
        <f aca="false">IF(ISNUMBER(Tracker!L182),Tracker!L182,IF(ISNUMBER(Tracker!K182),Tracker!K182,0))</f>
        <v>46402</v>
      </c>
      <c r="DU186" s="0" t="str">
        <f aca="false">Tracker!M182</f>
        <v>Not Started</v>
      </c>
    </row>
    <row r="187" customFormat="false" ht="15" hidden="false" customHeight="false" outlineLevel="1" collapsed="false">
      <c r="A187" s="179" t="str">
        <f aca="false">Tracker!F183</f>
        <v>NEW</v>
      </c>
      <c r="B187" s="179" t="str">
        <f aca="false">Tracker!G183</f>
        <v>Post-Event Deep Clean Plan Approved</v>
      </c>
      <c r="C187" s="179" t="str">
        <f aca="false">TRIM(Tracker!D183)</f>
        <v>FMT-CAW</v>
      </c>
      <c r="D187" s="179" t="str">
        <f aca="false">IF(TRIM(Tracker!J183)="",Tracker!I183,Tracker!J183)</f>
        <v>Department Led</v>
      </c>
      <c r="E187" s="180" t="n">
        <f aca="false">IF(ISNUMBER(Tracker!K183),Tracker!K183,IF(ISNUMBER(Tracker!L183),Tracker!L183,0))</f>
        <v>46539</v>
      </c>
      <c r="F187" s="180" t="n">
        <f aca="false">IF(ISNUMBER(Tracker!L183),Tracker!L183,IF(ISNUMBER(Tracker!K183),Tracker!K183,0))</f>
        <v>46539</v>
      </c>
      <c r="DU187" s="0" t="str">
        <f aca="false">Tracker!M183</f>
        <v>Not Started</v>
      </c>
    </row>
    <row r="188" customFormat="false" ht="15" hidden="false" customHeight="false" outlineLevel="1" collapsed="false">
      <c r="A188" s="179" t="str">
        <f aca="false">Tracker!F184</f>
        <v>CM.CAW.01</v>
      </c>
      <c r="B188" s="179" t="str">
        <f aca="false">Tracker!G184</f>
        <v>Cleaning &amp; Waste Strategies &amp; Operational Plans</v>
      </c>
      <c r="C188" s="179" t="str">
        <f aca="false">TRIM(Tracker!D184)</f>
        <v>FMT-CAW</v>
      </c>
      <c r="D188" s="179" t="str">
        <f aca="false">IF(TRIM(Tracker!J184)="",Tracker!I184,Tracker!J184)</f>
        <v>S21</v>
      </c>
      <c r="E188" s="180" t="n">
        <f aca="false">IF(ISNUMBER(Tracker!K184),Tracker!K184,IF(ISNUMBER(Tracker!L184),Tracker!L184,0))</f>
        <v>0</v>
      </c>
      <c r="F188" s="180" t="n">
        <f aca="false">IF(ISNUMBER(Tracker!L184),Tracker!L184,IF(ISNUMBER(Tracker!K184),Tracker!K184,0))</f>
        <v>0</v>
      </c>
      <c r="DU188" s="0" t="str">
        <f aca="false">Tracker!M184</f>
        <v>TBC if this is applicable </v>
      </c>
    </row>
    <row r="189" customFormat="false" ht="15" hidden="false" customHeight="false" outlineLevel="1" collapsed="false">
      <c r="A189" s="179" t="str">
        <f aca="false">Tracker!F185</f>
        <v>CM.CAW.01.1</v>
      </c>
      <c r="B189" s="179" t="str">
        <f aca="false">Tracker!G185</f>
        <v>DOP V1</v>
      </c>
      <c r="C189" s="179" t="str">
        <f aca="false">TRIM(Tracker!D185)</f>
        <v>FMT-CAW</v>
      </c>
      <c r="D189" s="179" t="str">
        <f aca="false">IF(TRIM(Tracker!J185)="",Tracker!I185,Tracker!J185)</f>
        <v>Ilkin - Soft oversight</v>
      </c>
      <c r="E189" s="180" t="n">
        <f aca="false">IF(ISNUMBER(Tracker!K185),Tracker!K185,IF(ISNUMBER(Tracker!L185),Tracker!L185,0))</f>
        <v>0</v>
      </c>
      <c r="F189" s="180" t="n">
        <f aca="false">IF(ISNUMBER(Tracker!L185),Tracker!L185,IF(ISNUMBER(Tracker!K185),Tracker!K185,0))</f>
        <v>0</v>
      </c>
      <c r="DU189" s="0" t="str">
        <f aca="false">Tracker!M185</f>
        <v>Complete</v>
      </c>
    </row>
    <row r="190" customFormat="false" ht="15" hidden="false" customHeight="false" outlineLevel="1" collapsed="false">
      <c r="A190" s="179" t="str">
        <f aca="false">Tracker!F186</f>
        <v>CM.CAW.02</v>
      </c>
      <c r="B190" s="179" t="str">
        <f aca="false">Tracker!G186</f>
        <v>Waste Capacity &amp; Infrastructure Planning</v>
      </c>
      <c r="C190" s="179" t="str">
        <f aca="false">TRIM(Tracker!D186)</f>
        <v>FMT-CAW</v>
      </c>
      <c r="D190" s="179" t="str">
        <f aca="false">IF(TRIM(Tracker!J186)="",Tracker!I186,Tracker!J186)</f>
        <v>S21</v>
      </c>
      <c r="E190" s="180" t="n">
        <f aca="false">IF(ISNUMBER(Tracker!K186),Tracker!K186,IF(ISNUMBER(Tracker!L186),Tracker!L186,0))</f>
        <v>0</v>
      </c>
      <c r="F190" s="180" t="n">
        <f aca="false">IF(ISNUMBER(Tracker!L186),Tracker!L186,IF(ISNUMBER(Tracker!K186),Tracker!K186,0))</f>
        <v>0</v>
      </c>
      <c r="DU190" s="0" t="str">
        <f aca="false">Tracker!M186</f>
        <v>TBC if this is applicable </v>
      </c>
    </row>
    <row r="191" customFormat="false" ht="15" hidden="false" customHeight="false" outlineLevel="1" collapsed="false">
      <c r="A191" s="179" t="str">
        <f aca="false">Tracker!F187</f>
        <v>CM.CAW.03</v>
      </c>
      <c r="B191" s="179" t="str">
        <f aca="false">Tracker!G187</f>
        <v>Cleaning &amp; Waste Transition Plan Review (Planning to Live Ops)</v>
      </c>
      <c r="C191" s="179" t="str">
        <f aca="false">TRIM(Tracker!D187)</f>
        <v>FMT-CAW</v>
      </c>
      <c r="D191" s="179" t="str">
        <f aca="false">IF(TRIM(Tracker!J187)="",Tracker!I187,Tracker!J187)</f>
        <v>S21</v>
      </c>
      <c r="E191" s="180" t="n">
        <f aca="false">IF(ISNUMBER(Tracker!K187),Tracker!K187,IF(ISNUMBER(Tracker!L187),Tracker!L187,0))</f>
        <v>0</v>
      </c>
      <c r="F191" s="180" t="n">
        <f aca="false">IF(ISNUMBER(Tracker!L187),Tracker!L187,IF(ISNUMBER(Tracker!K187),Tracker!K187,0))</f>
        <v>0</v>
      </c>
      <c r="DU191" s="0" t="str">
        <f aca="false">Tracker!M187</f>
        <v>TBC if this is applicable </v>
      </c>
    </row>
    <row r="192" customFormat="false" ht="15" hidden="false" customHeight="false" outlineLevel="1" collapsed="false">
      <c r="A192" s="179" t="str">
        <f aca="false">Tracker!F188</f>
        <v>CM.CAW.04</v>
      </c>
      <c r="B192" s="179" t="str">
        <f aca="false">Tracker!G188</f>
        <v>Compliance &amp; Sustainability Requirements</v>
      </c>
      <c r="C192" s="179" t="str">
        <f aca="false">TRIM(Tracker!D188)</f>
        <v>FMT-CAW</v>
      </c>
      <c r="D192" s="179" t="str">
        <f aca="false">IF(TRIM(Tracker!J188)="",Tracker!I188,Tracker!J188)</f>
        <v>S21</v>
      </c>
      <c r="E192" s="180" t="n">
        <f aca="false">IF(ISNUMBER(Tracker!K188),Tracker!K188,IF(ISNUMBER(Tracker!L188),Tracker!L188,0))</f>
        <v>0</v>
      </c>
      <c r="F192" s="180" t="n">
        <f aca="false">IF(ISNUMBER(Tracker!L188),Tracker!L188,IF(ISNUMBER(Tracker!K188),Tracker!K188,0))</f>
        <v>0</v>
      </c>
      <c r="DU192" s="0" t="str">
        <f aca="false">Tracker!M188</f>
        <v>TBC if this is applicable </v>
      </c>
    </row>
    <row r="193" customFormat="false" ht="15" hidden="false" customHeight="false" outlineLevel="1" collapsed="false">
      <c r="A193" s="179" t="str">
        <f aca="false">Tracker!F189</f>
        <v>CM.CAW.05</v>
      </c>
      <c r="B193" s="179" t="str">
        <f aca="false">Tracker!G189</f>
        <v>Cleaning &amp; Waste Implementation &amp; Integration</v>
      </c>
      <c r="C193" s="179" t="str">
        <f aca="false">TRIM(Tracker!D189)</f>
        <v>FMT-CAW</v>
      </c>
      <c r="D193" s="179" t="str">
        <f aca="false">IF(TRIM(Tracker!J189)="",Tracker!I189,Tracker!J189)</f>
        <v>S21</v>
      </c>
      <c r="E193" s="180" t="n">
        <f aca="false">IF(ISNUMBER(Tracker!K189),Tracker!K189,IF(ISNUMBER(Tracker!L189),Tracker!L189,0))</f>
        <v>0</v>
      </c>
      <c r="F193" s="180" t="n">
        <f aca="false">IF(ISNUMBER(Tracker!L189),Tracker!L189,IF(ISNUMBER(Tracker!K189),Tracker!K189,0))</f>
        <v>0</v>
      </c>
      <c r="DU193" s="0" t="str">
        <f aca="false">Tracker!M189</f>
        <v>TBC if this is applicable </v>
      </c>
    </row>
    <row r="194" customFormat="false" ht="15" hidden="false" customHeight="false" outlineLevel="1" collapsed="false">
      <c r="A194" s="179" t="str">
        <f aca="false">Tracker!F190</f>
        <v>CM.CAW.06</v>
      </c>
      <c r="B194" s="179" t="str">
        <f aca="false">Tracker!G190</f>
        <v>Cleaning &amp; Waste–Logistics Integration</v>
      </c>
      <c r="C194" s="179" t="str">
        <f aca="false">TRIM(Tracker!D190)</f>
        <v>FMT-CAW</v>
      </c>
      <c r="D194" s="179" t="str">
        <f aca="false">IF(TRIM(Tracker!J190)="",Tracker!I190,Tracker!J190)</f>
        <v>S21</v>
      </c>
      <c r="E194" s="180" t="n">
        <f aca="false">IF(ISNUMBER(Tracker!K190),Tracker!K190,IF(ISNUMBER(Tracker!L190),Tracker!L190,0))</f>
        <v>0</v>
      </c>
      <c r="F194" s="180" t="n">
        <f aca="false">IF(ISNUMBER(Tracker!L190),Tracker!L190,IF(ISNUMBER(Tracker!K190),Tracker!K190,0))</f>
        <v>0</v>
      </c>
      <c r="DU194" s="0" t="str">
        <f aca="false">Tracker!M190</f>
        <v>TBC if this is applicable </v>
      </c>
    </row>
    <row r="195" customFormat="false" ht="15" hidden="false" customHeight="false" outlineLevel="1" collapsed="false">
      <c r="A195" s="179" t="str">
        <f aca="false">Tracker!F191</f>
        <v>CM.CAW.07</v>
      </c>
      <c r="B195" s="179" t="str">
        <f aca="false">Tracker!G191</f>
        <v>Cleaning &amp; Waste Readiness Reviews</v>
      </c>
      <c r="C195" s="179" t="str">
        <f aca="false">TRIM(Tracker!D191)</f>
        <v>FMT-CAW</v>
      </c>
      <c r="D195" s="179" t="str">
        <f aca="false">IF(TRIM(Tracker!J191)="",Tracker!I191,Tracker!J191)</f>
        <v>S21</v>
      </c>
      <c r="E195" s="180" t="n">
        <f aca="false">IF(ISNUMBER(Tracker!K191),Tracker!K191,IF(ISNUMBER(Tracker!L191),Tracker!L191,0))</f>
        <v>0</v>
      </c>
      <c r="F195" s="180" t="n">
        <f aca="false">IF(ISNUMBER(Tracker!L191),Tracker!L191,IF(ISNUMBER(Tracker!K191),Tracker!K191,0))</f>
        <v>0</v>
      </c>
      <c r="DU195" s="0" t="str">
        <f aca="false">Tracker!M191</f>
        <v>TBC if this is applicable </v>
      </c>
    </row>
    <row r="196" customFormat="false" ht="15" hidden="false" customHeight="false" outlineLevel="1" collapsed="false">
      <c r="A196" s="179" t="str">
        <f aca="false">Tracker!F192</f>
        <v>CM.CAW.08</v>
      </c>
      <c r="B196" s="179" t="str">
        <f aca="false">Tracker!G192</f>
        <v>Operational Testing &amp; Scenario Planning</v>
      </c>
      <c r="C196" s="179" t="str">
        <f aca="false">TRIM(Tracker!D192)</f>
        <v>FMT-CAW</v>
      </c>
      <c r="D196" s="179" t="str">
        <f aca="false">IF(TRIM(Tracker!J192)="",Tracker!I192,Tracker!J192)</f>
        <v>S21</v>
      </c>
      <c r="E196" s="180" t="n">
        <f aca="false">IF(ISNUMBER(Tracker!K192),Tracker!K192,IF(ISNUMBER(Tracker!L192),Tracker!L192,0))</f>
        <v>0</v>
      </c>
      <c r="F196" s="180" t="n">
        <f aca="false">IF(ISNUMBER(Tracker!L192),Tracker!L192,IF(ISNUMBER(Tracker!K192),Tracker!K192,0))</f>
        <v>0</v>
      </c>
      <c r="DU196" s="0" t="str">
        <f aca="false">Tracker!M192</f>
        <v>TBC if this is applicable </v>
      </c>
    </row>
    <row r="197" customFormat="false" ht="15" hidden="false" customHeight="false" outlineLevel="1" collapsed="false">
      <c r="A197" s="179" t="str">
        <f aca="false">Tracker!F193</f>
        <v>CM.FMT.01</v>
      </c>
      <c r="B197" s="179" t="str">
        <f aca="false">Tracker!G193</f>
        <v>FM Strategies &amp; Operational Plans</v>
      </c>
      <c r="C197" s="179" t="str">
        <f aca="false">TRIM(Tracker!D193)</f>
        <v>FMT-CAW</v>
      </c>
      <c r="D197" s="179" t="str">
        <f aca="false">IF(TRIM(Tracker!J193)="",Tracker!I193,Tracker!J193)</f>
        <v>S21</v>
      </c>
      <c r="E197" s="180" t="n">
        <f aca="false">IF(ISNUMBER(Tracker!K193),Tracker!K193,IF(ISNUMBER(Tracker!L193),Tracker!L193,0))</f>
        <v>0</v>
      </c>
      <c r="F197" s="180" t="n">
        <f aca="false">IF(ISNUMBER(Tracker!L193),Tracker!L193,IF(ISNUMBER(Tracker!K193),Tracker!K193,0))</f>
        <v>0</v>
      </c>
      <c r="DU197" s="0" t="str">
        <f aca="false">Tracker!M193</f>
        <v>TBC if this is applicable </v>
      </c>
    </row>
    <row r="198" customFormat="false" ht="15" hidden="false" customHeight="false" outlineLevel="1" collapsed="false">
      <c r="A198" s="179" t="str">
        <f aca="false">Tracker!F194</f>
        <v>CM.FMT.01.1</v>
      </c>
      <c r="B198" s="179" t="str">
        <f aca="false">Tracker!G194</f>
        <v>DOP V1</v>
      </c>
      <c r="C198" s="179" t="str">
        <f aca="false">TRIM(Tracker!D194)</f>
        <v>FMT-CAW</v>
      </c>
      <c r="D198" s="179" t="str">
        <f aca="false">IF(TRIM(Tracker!J194)="",Tracker!I194,Tracker!J194)</f>
        <v>Ilkin - Soft oversight</v>
      </c>
      <c r="E198" s="180" t="n">
        <f aca="false">IF(ISNUMBER(Tracker!K194),Tracker!K194,IF(ISNUMBER(Tracker!L194),Tracker!L194,0))</f>
        <v>46223</v>
      </c>
      <c r="F198" s="180" t="n">
        <f aca="false">IF(ISNUMBER(Tracker!L194),Tracker!L194,IF(ISNUMBER(Tracker!K194),Tracker!K194,0))</f>
        <v>46223</v>
      </c>
      <c r="DU198" s="0" t="str">
        <f aca="false">Tracker!M194</f>
        <v>Complete</v>
      </c>
    </row>
    <row r="199" customFormat="false" ht="15" hidden="false" customHeight="false" outlineLevel="1" collapsed="false">
      <c r="A199" s="179" t="str">
        <f aca="false">Tracker!F195</f>
        <v>CM.FMT.02</v>
      </c>
      <c r="B199" s="179" t="str">
        <f aca="false">Tracker!G195</f>
        <v>FM Helpdesk &amp; Service Request Process Review</v>
      </c>
      <c r="C199" s="179" t="str">
        <f aca="false">TRIM(Tracker!D195)</f>
        <v>FMT-CAW</v>
      </c>
      <c r="D199" s="179" t="str">
        <f aca="false">IF(TRIM(Tracker!J195)="",Tracker!I195,Tracker!J195)</f>
        <v>S21</v>
      </c>
      <c r="E199" s="180" t="n">
        <f aca="false">IF(ISNUMBER(Tracker!K195),Tracker!K195,IF(ISNUMBER(Tracker!L195),Tracker!L195,0))</f>
        <v>0</v>
      </c>
      <c r="F199" s="180" t="n">
        <f aca="false">IF(ISNUMBER(Tracker!L195),Tracker!L195,IF(ISNUMBER(Tracker!K195),Tracker!K195,0))</f>
        <v>0</v>
      </c>
      <c r="DU199" s="0" t="str">
        <f aca="false">Tracker!M195</f>
        <v>TBC if this is applicable </v>
      </c>
    </row>
    <row r="200" customFormat="false" ht="15" hidden="false" customHeight="false" outlineLevel="1" collapsed="false">
      <c r="A200" s="179" t="str">
        <f aca="false">Tracker!F196</f>
        <v>CM.FMT.03</v>
      </c>
      <c r="B200" s="179" t="str">
        <f aca="false">Tracker!G196</f>
        <v>FM Operating Model Review</v>
      </c>
      <c r="C200" s="179" t="str">
        <f aca="false">TRIM(Tracker!D196)</f>
        <v>FMT-CAW</v>
      </c>
      <c r="D200" s="179" t="str">
        <f aca="false">IF(TRIM(Tracker!J196)="",Tracker!I196,Tracker!J196)</f>
        <v>S21</v>
      </c>
      <c r="E200" s="180" t="n">
        <f aca="false">IF(ISNUMBER(Tracker!K196),Tracker!K196,IF(ISNUMBER(Tracker!L196),Tracker!L196,0))</f>
        <v>0</v>
      </c>
      <c r="F200" s="180" t="n">
        <f aca="false">IF(ISNUMBER(Tracker!L196),Tracker!L196,IF(ISNUMBER(Tracker!K196),Tracker!K196,0))</f>
        <v>0</v>
      </c>
      <c r="DU200" s="0" t="str">
        <f aca="false">Tracker!M196</f>
        <v>TBC if this is applicable </v>
      </c>
    </row>
    <row r="201" customFormat="false" ht="15" hidden="false" customHeight="false" outlineLevel="1" collapsed="false">
      <c r="A201" s="179" t="str">
        <f aca="false">Tracker!F197</f>
        <v>CM.FMT.04</v>
      </c>
      <c r="B201" s="179" t="str">
        <f aca="false">Tracker!G197</f>
        <v>FM Service Delivery Planning</v>
      </c>
      <c r="C201" s="179" t="str">
        <f aca="false">TRIM(Tracker!D197)</f>
        <v>FMT-CAW</v>
      </c>
      <c r="D201" s="179" t="str">
        <f aca="false">IF(TRIM(Tracker!J197)="",Tracker!I197,Tracker!J197)</f>
        <v>S21</v>
      </c>
      <c r="E201" s="180" t="n">
        <f aca="false">IF(ISNUMBER(Tracker!K197),Tracker!K197,IF(ISNUMBER(Tracker!L197),Tracker!L197,0))</f>
        <v>0</v>
      </c>
      <c r="F201" s="180" t="n">
        <f aca="false">IF(ISNUMBER(Tracker!L197),Tracker!L197,IF(ISNUMBER(Tracker!K197),Tracker!K197,0))</f>
        <v>0</v>
      </c>
      <c r="DU201" s="0" t="str">
        <f aca="false">Tracker!M197</f>
        <v>TBC if this is applicable </v>
      </c>
    </row>
    <row r="202" customFormat="false" ht="15" hidden="false" customHeight="false" outlineLevel="1" collapsed="false">
      <c r="A202" s="179" t="str">
        <f aca="false">Tracker!F198</f>
        <v>CM.FMT.05</v>
      </c>
      <c r="B202" s="179" t="str">
        <f aca="false">Tracker!G198</f>
        <v>FM Systems &amp; Operational Integration</v>
      </c>
      <c r="C202" s="179" t="str">
        <f aca="false">TRIM(Tracker!D198)</f>
        <v>FMT-CAW</v>
      </c>
      <c r="D202" s="179" t="str">
        <f aca="false">IF(TRIM(Tracker!J198)="",Tracker!I198,Tracker!J198)</f>
        <v>S21</v>
      </c>
      <c r="E202" s="180" t="n">
        <f aca="false">IF(ISNUMBER(Tracker!K198),Tracker!K198,IF(ISNUMBER(Tracker!L198),Tracker!L198,0))</f>
        <v>0</v>
      </c>
      <c r="F202" s="180" t="n">
        <f aca="false">IF(ISNUMBER(Tracker!L198),Tracker!L198,IF(ISNUMBER(Tracker!K198),Tracker!K198,0))</f>
        <v>0</v>
      </c>
      <c r="DU202" s="0" t="str">
        <f aca="false">Tracker!M198</f>
        <v>TBC if this is applicable </v>
      </c>
    </row>
    <row r="203" customFormat="false" ht="15" hidden="false" customHeight="false" outlineLevel="1" collapsed="false">
      <c r="A203" s="179" t="str">
        <f aca="false">Tracker!F199</f>
        <v>CM.FMT.06</v>
      </c>
      <c r="B203" s="179" t="str">
        <f aca="false">Tracker!G199</f>
        <v>Machinery &amp; Rate Card Agreement Review</v>
      </c>
      <c r="C203" s="179" t="str">
        <f aca="false">TRIM(Tracker!D199)</f>
        <v>FMT-CAW</v>
      </c>
      <c r="D203" s="179" t="str">
        <f aca="false">IF(TRIM(Tracker!J199)="",Tracker!I199,Tracker!J199)</f>
        <v>S21</v>
      </c>
      <c r="E203" s="180" t="n">
        <f aca="false">IF(ISNUMBER(Tracker!K199),Tracker!K199,IF(ISNUMBER(Tracker!L199),Tracker!L199,0))</f>
        <v>0</v>
      </c>
      <c r="F203" s="180" t="n">
        <f aca="false">IF(ISNUMBER(Tracker!L199),Tracker!L199,IF(ISNUMBER(Tracker!K199),Tracker!K199,0))</f>
        <v>0</v>
      </c>
      <c r="DU203" s="0" t="str">
        <f aca="false">Tracker!M199</f>
        <v>TBC if this is applicable </v>
      </c>
    </row>
    <row r="204" customFormat="false" ht="15" hidden="false" customHeight="false" outlineLevel="1" collapsed="false">
      <c r="A204" s="179" t="str">
        <f aca="false">Tracker!F200</f>
        <v>CM.FMT.07</v>
      </c>
      <c r="B204" s="179" t="str">
        <f aca="false">Tracker!G200</f>
        <v>FM KPI &amp; Reporting Framework Development</v>
      </c>
      <c r="C204" s="179" t="str">
        <f aca="false">TRIM(Tracker!D200)</f>
        <v>FMT-CAW</v>
      </c>
      <c r="D204" s="179" t="str">
        <f aca="false">IF(TRIM(Tracker!J200)="",Tracker!I200,Tracker!J200)</f>
        <v>S21</v>
      </c>
      <c r="E204" s="180" t="n">
        <f aca="false">IF(ISNUMBER(Tracker!K200),Tracker!K200,IF(ISNUMBER(Tracker!L200),Tracker!L200,0))</f>
        <v>0</v>
      </c>
      <c r="F204" s="180" t="n">
        <f aca="false">IF(ISNUMBER(Tracker!L200),Tracker!L200,IF(ISNUMBER(Tracker!K200),Tracker!K200,0))</f>
        <v>0</v>
      </c>
      <c r="DU204" s="0" t="str">
        <f aca="false">Tracker!M200</f>
        <v>TBC if this is applicable </v>
      </c>
    </row>
    <row r="205" customFormat="false" ht="15.75" hidden="false" customHeight="true" outlineLevel="0" collapsed="false">
      <c r="A205" s="175"/>
      <c r="B205" s="176" t="s">
        <v>1359</v>
      </c>
      <c r="C205" s="176" t="s">
        <v>1359</v>
      </c>
      <c r="D205" s="175"/>
      <c r="E205" s="177" t="n">
        <f aca="false">IFERROR(_xlfn.MINIFS(E206:E216,E206:E216,"&gt;0"),0)</f>
        <v>46174</v>
      </c>
      <c r="F205" s="177" t="n">
        <f aca="false">IFERROR(_xlfn.MAXIFS(F206:F216,F206:F216,"&gt;0"),0)</f>
        <v>46630</v>
      </c>
      <c r="DU205" s="178" t="s">
        <v>1357</v>
      </c>
    </row>
    <row r="206" customFormat="false" ht="15" hidden="false" customHeight="false" outlineLevel="1" collapsed="false">
      <c r="A206" s="179" t="str">
        <f aca="false">Tracker!F201</f>
        <v>KM.98</v>
      </c>
      <c r="B206" s="179" t="str">
        <f aca="false">Tracker!G201</f>
        <v>School Visits Operations Finalised</v>
      </c>
      <c r="C206" s="179" t="str">
        <f aca="false">TRIM(Tracker!D201)</f>
        <v>Guest Services (GTS)</v>
      </c>
      <c r="D206" s="179" t="str">
        <f aca="false">IF(TRIM(Tracker!J201)="",Tracker!I201,Tracker!J201)</f>
        <v>Lynn</v>
      </c>
      <c r="E206" s="180" t="n">
        <f aca="false">IF(ISNUMBER(Tracker!K201),Tracker!K201,IF(ISNUMBER(Tracker!L201),Tracker!L201,0))</f>
        <v>46266</v>
      </c>
      <c r="F206" s="180" t="n">
        <f aca="false">IF(ISNUMBER(Tracker!L201),Tracker!L201,IF(ISNUMBER(Tracker!K201),Tracker!K201,0))</f>
        <v>46357</v>
      </c>
      <c r="DU206" s="0" t="str">
        <f aca="false">Tracker!M201</f>
        <v>On Track</v>
      </c>
    </row>
    <row r="207" customFormat="false" ht="15" hidden="false" customHeight="false" outlineLevel="1" collapsed="false">
      <c r="A207" s="179" t="str">
        <f aca="false">Tracker!F202</f>
        <v>KM.109</v>
      </c>
      <c r="B207" s="179" t="str">
        <f aca="false">Tracker!G202</f>
        <v>School Programme Concept of Operations development</v>
      </c>
      <c r="C207" s="179" t="str">
        <f aca="false">TRIM(Tracker!D202)</f>
        <v>Guest Services (GTS)</v>
      </c>
      <c r="D207" s="179" t="str">
        <f aca="false">IF(TRIM(Tracker!J202)="",Tracker!I202,Tracker!J202)</f>
        <v>Lynn</v>
      </c>
      <c r="E207" s="180" t="n">
        <f aca="false">IF(ISNUMBER(Tracker!K202),Tracker!K202,IF(ISNUMBER(Tracker!L202),Tracker!L202,0))</f>
        <v>46174</v>
      </c>
      <c r="F207" s="180" t="n">
        <f aca="false">IF(ISNUMBER(Tracker!L202),Tracker!L202,IF(ISNUMBER(Tracker!K202),Tracker!K202,0))</f>
        <v>46266</v>
      </c>
      <c r="DU207" s="0" t="str">
        <f aca="false">Tracker!M202</f>
        <v>On Track</v>
      </c>
    </row>
    <row r="208" customFormat="false" ht="15" hidden="false" customHeight="false" outlineLevel="1" collapsed="false">
      <c r="A208" s="179" t="str">
        <f aca="false">Tracker!F203</f>
        <v>KM.133</v>
      </c>
      <c r="B208" s="179" t="str">
        <f aca="false">Tracker!G203</f>
        <v>School Programme Management System scope defined</v>
      </c>
      <c r="C208" s="179" t="str">
        <f aca="false">TRIM(Tracker!D203)</f>
        <v>Guest Services (GTS)</v>
      </c>
      <c r="D208" s="179" t="str">
        <f aca="false">IF(TRIM(Tracker!J203)="",Tracker!I203,Tracker!J203)</f>
        <v>Lynn</v>
      </c>
      <c r="E208" s="180" t="n">
        <f aca="false">IF(ISNUMBER(Tracker!K203),Tracker!K203,IF(ISNUMBER(Tracker!L203),Tracker!L203,0))</f>
        <v>46174</v>
      </c>
      <c r="F208" s="180" t="n">
        <f aca="false">IF(ISNUMBER(Tracker!L203),Tracker!L203,IF(ISNUMBER(Tracker!K203),Tracker!K203,0))</f>
        <v>46266</v>
      </c>
      <c r="DU208" s="0" t="str">
        <f aca="false">Tracker!M203</f>
        <v>On Track</v>
      </c>
    </row>
    <row r="209" customFormat="false" ht="15" hidden="false" customHeight="false" outlineLevel="1" collapsed="false">
      <c r="A209" s="179" t="str">
        <f aca="false">Tracker!F204</f>
        <v>NEW</v>
      </c>
      <c r="B209" s="179" t="str">
        <f aca="false">Tracker!G204</f>
        <v>Visitor Complaint Procedure approved</v>
      </c>
      <c r="C209" s="179" t="str">
        <f aca="false">TRIM(Tracker!D204)</f>
        <v>Guest Services (GTS)</v>
      </c>
      <c r="D209" s="179" t="str">
        <f aca="false">IF(TRIM(Tracker!J204)="",Tracker!I204,Tracker!J204)</f>
        <v>Lynn</v>
      </c>
      <c r="E209" s="180" t="n">
        <f aca="false">IF(ISNUMBER(Tracker!K204),Tracker!K204,IF(ISNUMBER(Tracker!L204),Tracker!L204,0))</f>
        <v>46216</v>
      </c>
      <c r="F209" s="180" t="n">
        <f aca="false">IF(ISNUMBER(Tracker!L204),Tracker!L204,IF(ISNUMBER(Tracker!K204),Tracker!K204,0))</f>
        <v>46310</v>
      </c>
      <c r="DU209" s="0" t="str">
        <f aca="false">Tracker!M204</f>
        <v>On Track</v>
      </c>
    </row>
    <row r="210" customFormat="false" ht="15" hidden="false" customHeight="false" outlineLevel="1" collapsed="false">
      <c r="A210" s="179" t="str">
        <f aca="false">Tracker!F205</f>
        <v>NEW</v>
      </c>
      <c r="B210" s="179" t="str">
        <f aca="false">Tracker!G205</f>
        <v>Contact Centre Operational </v>
      </c>
      <c r="C210" s="179" t="str">
        <f aca="false">TRIM(Tracker!D205)</f>
        <v>Guest Services (GTS)</v>
      </c>
      <c r="D210" s="179" t="str">
        <f aca="false">IF(TRIM(Tracker!J205)="",Tracker!I205,Tracker!J205)</f>
        <v>Lynn</v>
      </c>
      <c r="E210" s="180" t="n">
        <f aca="false">IF(ISNUMBER(Tracker!K205),Tracker!K205,IF(ISNUMBER(Tracker!L205),Tracker!L205,0))</f>
        <v>46280</v>
      </c>
      <c r="F210" s="180" t="n">
        <f aca="false">IF(ISNUMBER(Tracker!L205),Tracker!L205,IF(ISNUMBER(Tracker!K205),Tracker!K205,0))</f>
        <v>46630</v>
      </c>
      <c r="DU210" s="0" t="str">
        <f aca="false">Tracker!M205</f>
        <v>On Track</v>
      </c>
    </row>
    <row r="211" customFormat="false" ht="15" hidden="false" customHeight="false" outlineLevel="1" collapsed="false">
      <c r="A211" s="179" t="str">
        <f aca="false">Tracker!F206</f>
        <v>NEW</v>
      </c>
      <c r="B211" s="179" t="str">
        <f aca="false">Tracker!G206</f>
        <v>Contact Centre Outsourced Supplier Confirmed </v>
      </c>
      <c r="C211" s="179" t="str">
        <f aca="false">TRIM(Tracker!D206)</f>
        <v>Guest Services (GTS)</v>
      </c>
      <c r="D211" s="179" t="str">
        <f aca="false">IF(TRIM(Tracker!J206)="",Tracker!I206,Tracker!J206)</f>
        <v>Lynn</v>
      </c>
      <c r="E211" s="180" t="n">
        <f aca="false">IF(ISNUMBER(Tracker!K206),Tracker!K206,IF(ISNUMBER(Tracker!L206),Tracker!L206,0))</f>
        <v>46249</v>
      </c>
      <c r="F211" s="180" t="n">
        <f aca="false">IF(ISNUMBER(Tracker!L206),Tracker!L206,IF(ISNUMBER(Tracker!K206),Tracker!K206,0))</f>
        <v>46280</v>
      </c>
      <c r="DU211" s="0" t="str">
        <f aca="false">Tracker!M206</f>
        <v>On Track</v>
      </c>
    </row>
    <row r="212" customFormat="false" ht="15" hidden="false" customHeight="false" outlineLevel="1" collapsed="false">
      <c r="A212" s="179" t="str">
        <f aca="false">Tracker!F207</f>
        <v>NEW</v>
      </c>
      <c r="B212" s="179" t="str">
        <f aca="false">Tracker!G207</f>
        <v>GTS Department Operating Plan finalised</v>
      </c>
      <c r="C212" s="179" t="str">
        <f aca="false">TRIM(Tracker!D207)</f>
        <v>Guest Services (GTS)</v>
      </c>
      <c r="D212" s="179" t="str">
        <f aca="false">IF(TRIM(Tracker!J207)="",Tracker!I207,Tracker!J207)</f>
        <v>Lynn</v>
      </c>
      <c r="E212" s="180" t="n">
        <f aca="false">IF(ISNUMBER(Tracker!K207),Tracker!K207,IF(ISNUMBER(Tracker!L207),Tracker!L207,0))</f>
        <v>46266</v>
      </c>
      <c r="F212" s="180" t="n">
        <f aca="false">IF(ISNUMBER(Tracker!L207),Tracker!L207,IF(ISNUMBER(Tracker!K207),Tracker!K207,0))</f>
        <v>46266</v>
      </c>
      <c r="DU212" s="0" t="str">
        <f aca="false">Tracker!M207</f>
        <v>On Track</v>
      </c>
    </row>
    <row r="213" customFormat="false" ht="15" hidden="false" customHeight="false" outlineLevel="1" collapsed="false">
      <c r="A213" s="179" t="str">
        <f aca="false">Tracker!F208</f>
        <v>NEW</v>
      </c>
      <c r="B213" s="179" t="str">
        <f aca="false">Tracker!G208</f>
        <v>Accessibility Equipment Procured</v>
      </c>
      <c r="C213" s="179" t="str">
        <f aca="false">TRIM(Tracker!D208)</f>
        <v>Guest Services (GTS)</v>
      </c>
      <c r="D213" s="179" t="str">
        <f aca="false">IF(TRIM(Tracker!J208)="",Tracker!I208,Tracker!J208)</f>
        <v>Lynn</v>
      </c>
      <c r="E213" s="180" t="n">
        <f aca="false">IF(ISNUMBER(Tracker!K208),Tracker!K208,IF(ISNUMBER(Tracker!L208),Tracker!L208,0))</f>
        <v>46371</v>
      </c>
      <c r="F213" s="180" t="n">
        <f aca="false">IF(ISNUMBER(Tracker!L208),Tracker!L208,IF(ISNUMBER(Tracker!K208),Tracker!K208,0))</f>
        <v>46371</v>
      </c>
      <c r="DU213" s="0" t="str">
        <f aca="false">Tracker!M208</f>
        <v>Not Started</v>
      </c>
    </row>
    <row r="214" customFormat="false" ht="15" hidden="false" customHeight="false" outlineLevel="1" collapsed="false">
      <c r="A214" s="179" t="str">
        <f aca="false">Tracker!F209</f>
        <v>NEW</v>
      </c>
      <c r="B214" s="179" t="str">
        <f aca="false">Tracker!G209</f>
        <v>School Programme Management System Live</v>
      </c>
      <c r="C214" s="179" t="str">
        <f aca="false">TRIM(Tracker!D209)</f>
        <v>Guest Services (GTS)</v>
      </c>
      <c r="D214" s="179" t="str">
        <f aca="false">IF(TRIM(Tracker!J209)="",Tracker!I209,Tracker!J209)</f>
        <v>Lynn</v>
      </c>
      <c r="E214" s="180" t="n">
        <f aca="false">IF(ISNUMBER(Tracker!K209),Tracker!K209,IF(ISNUMBER(Tracker!L209),Tracker!L209,0))</f>
        <v>46266</v>
      </c>
      <c r="F214" s="180" t="n">
        <f aca="false">IF(ISNUMBER(Tracker!L209),Tracker!L209,IF(ISNUMBER(Tracker!K209),Tracker!K209,0))</f>
        <v>46357</v>
      </c>
      <c r="DU214" s="0" t="str">
        <f aca="false">Tracker!M209</f>
        <v>Not Started</v>
      </c>
    </row>
    <row r="215" customFormat="false" ht="15" hidden="false" customHeight="false" outlineLevel="1" collapsed="false">
      <c r="A215" s="179" t="str">
        <f aca="false">Tracker!F210</f>
        <v>NEW</v>
      </c>
      <c r="B215" s="179" t="str">
        <f aca="false">Tracker!G210</f>
        <v>GTS Technology &amp; App Support Confirmed</v>
      </c>
      <c r="C215" s="179" t="str">
        <f aca="false">TRIM(Tracker!D210)</f>
        <v>Guest Services (GTS)</v>
      </c>
      <c r="D215" s="179" t="str">
        <f aca="false">IF(TRIM(Tracker!J210)="",Tracker!I210,Tracker!J210)</f>
        <v>Lynn</v>
      </c>
      <c r="E215" s="180" t="n">
        <f aca="false">IF(ISNUMBER(Tracker!K210),Tracker!K210,IF(ISNUMBER(Tracker!L210),Tracker!L210,0))</f>
        <v>46388</v>
      </c>
      <c r="F215" s="180" t="n">
        <f aca="false">IF(ISNUMBER(Tracker!L210),Tracker!L210,IF(ISNUMBER(Tracker!K210),Tracker!K210,0))</f>
        <v>46388</v>
      </c>
      <c r="DU215" s="0" t="str">
        <f aca="false">Tracker!M210</f>
        <v>Not Started</v>
      </c>
    </row>
    <row r="216" customFormat="false" ht="15" hidden="false" customHeight="false" outlineLevel="1" collapsed="false">
      <c r="A216" s="179" t="str">
        <f aca="false">Tracker!F211</f>
        <v>NEW</v>
      </c>
      <c r="B216" s="179" t="str">
        <f aca="false">Tracker!G211</f>
        <v>GTS Golf Buggy Fleet Operations confirmed</v>
      </c>
      <c r="C216" s="179" t="str">
        <f aca="false">TRIM(Tracker!D211)</f>
        <v>Guest Services (GTS)</v>
      </c>
      <c r="D216" s="179" t="str">
        <f aca="false">IF(TRIM(Tracker!J211)="",Tracker!I211,Tracker!J211)</f>
        <v>Lynn</v>
      </c>
      <c r="E216" s="180" t="n">
        <f aca="false">IF(ISNUMBER(Tracker!K211),Tracker!K211,IF(ISNUMBER(Tracker!L211),Tracker!L211,0))</f>
        <v>46447</v>
      </c>
      <c r="F216" s="180" t="n">
        <f aca="false">IF(ISNUMBER(Tracker!L211),Tracker!L211,IF(ISNUMBER(Tracker!K211),Tracker!K211,0))</f>
        <v>46447</v>
      </c>
      <c r="DU216" s="0" t="str">
        <f aca="false">Tracker!M211</f>
        <v>Not Started</v>
      </c>
    </row>
    <row r="217" customFormat="false" ht="15.75" hidden="false" customHeight="true" outlineLevel="0" collapsed="false">
      <c r="A217" s="175"/>
      <c r="B217" s="176" t="s">
        <v>726</v>
      </c>
      <c r="C217" s="176" t="s">
        <v>726</v>
      </c>
      <c r="D217" s="175"/>
      <c r="E217" s="177" t="n">
        <f aca="false">IFERROR(_xlfn.MINIFS(E218:E228,E218:E228,"&gt;0"),0)</f>
        <v>46025</v>
      </c>
      <c r="F217" s="177" t="n">
        <f aca="false">IFERROR(_xlfn.MAXIFS(F218:F228,F218:F228,"&gt;0"),0)</f>
        <v>46521</v>
      </c>
      <c r="DU217" s="178" t="s">
        <v>1357</v>
      </c>
    </row>
    <row r="218" customFormat="false" ht="15" hidden="false" customHeight="false" outlineLevel="1" collapsed="false">
      <c r="A218" s="179" t="str">
        <f aca="false">Tracker!F212</f>
        <v>CM.GTS.01</v>
      </c>
      <c r="B218" s="179" t="str">
        <f aca="false">Tracker!G212</f>
        <v>Guest Services Strategies &amp; Operational Plans</v>
      </c>
      <c r="C218" s="179" t="str">
        <f aca="false">TRIM(Tracker!D212)</f>
        <v>Guest Services (GTS) - Services</v>
      </c>
      <c r="D218" s="179" t="str">
        <f aca="false">IF(TRIM(Tracker!J212)="",Tracker!I212,Tracker!J212)</f>
        <v>Lynn</v>
      </c>
      <c r="E218" s="180" t="n">
        <f aca="false">IF(ISNUMBER(Tracker!K212),Tracker!K212,IF(ISNUMBER(Tracker!L212),Tracker!L212,0))</f>
        <v>46280</v>
      </c>
      <c r="F218" s="180" t="n">
        <f aca="false">IF(ISNUMBER(Tracker!L212),Tracker!L212,IF(ISNUMBER(Tracker!K212),Tracker!K212,0))</f>
        <v>46402</v>
      </c>
      <c r="DU218" s="0" t="str">
        <f aca="false">Tracker!M212</f>
        <v>On Track</v>
      </c>
    </row>
    <row r="219" customFormat="false" ht="15" hidden="false" customHeight="false" outlineLevel="1" collapsed="false">
      <c r="A219" s="179" t="str">
        <f aca="false">Tracker!F213</f>
        <v>CM.GTS.01.1</v>
      </c>
      <c r="B219" s="179" t="str">
        <f aca="false">Tracker!G213</f>
        <v>GTS Department Operating Plan finalised</v>
      </c>
      <c r="C219" s="179" t="str">
        <f aca="false">TRIM(Tracker!D213)</f>
        <v>Guest Services (GTS) - Services</v>
      </c>
      <c r="D219" s="179" t="str">
        <f aca="false">IF(TRIM(Tracker!J213)="",Tracker!I213,Tracker!J213)</f>
        <v>Lynn</v>
      </c>
      <c r="E219" s="180" t="n">
        <f aca="false">IF(ISNUMBER(Tracker!K213),Tracker!K213,IF(ISNUMBER(Tracker!L213),Tracker!L213,0))</f>
        <v>46204</v>
      </c>
      <c r="F219" s="180" t="n">
        <f aca="false">IF(ISNUMBER(Tracker!L213),Tracker!L213,IF(ISNUMBER(Tracker!K213),Tracker!K213,0))</f>
        <v>46387</v>
      </c>
      <c r="DU219" s="0" t="str">
        <f aca="false">Tracker!M213</f>
        <v>On Track</v>
      </c>
    </row>
    <row r="220" customFormat="false" ht="15" hidden="false" customHeight="false" outlineLevel="1" collapsed="false">
      <c r="A220" s="179" t="str">
        <f aca="false">Tracker!F214</f>
        <v>CM.GTS.02</v>
      </c>
      <c r="B220" s="179" t="str">
        <f aca="false">Tracker!G214</f>
        <v>Contact Centre Operating Plan &amp; Readiness - Phase 1 Launch</v>
      </c>
      <c r="C220" s="179" t="str">
        <f aca="false">TRIM(Tracker!D214)</f>
        <v>Guest Services (GTS) - Services</v>
      </c>
      <c r="D220" s="179" t="str">
        <f aca="false">IF(TRIM(Tracker!J214)="",Tracker!I214,Tracker!J214)</f>
        <v>Lynn</v>
      </c>
      <c r="E220" s="180" t="n">
        <f aca="false">IF(ISNUMBER(Tracker!K214),Tracker!K214,IF(ISNUMBER(Tracker!L214),Tracker!L214,0))</f>
        <v>46204</v>
      </c>
      <c r="F220" s="180" t="n">
        <f aca="false">IF(ISNUMBER(Tracker!L214),Tracker!L214,IF(ISNUMBER(Tracker!K214),Tracker!K214,0))</f>
        <v>46280</v>
      </c>
      <c r="DU220" s="0" t="str">
        <f aca="false">Tracker!M214</f>
        <v>On Track</v>
      </c>
    </row>
    <row r="221" customFormat="false" ht="15" hidden="false" customHeight="false" outlineLevel="1" collapsed="false">
      <c r="A221" s="179" t="str">
        <f aca="false">Tracker!F215</f>
        <v>CM.GTS.03</v>
      </c>
      <c r="B221" s="179" t="str">
        <f aca="false">Tracker!G215</f>
        <v>School Programme Operating Plan &amp; Readiness </v>
      </c>
      <c r="C221" s="179" t="str">
        <f aca="false">TRIM(Tracker!D215)</f>
        <v>Guest Services (GTS) - Services</v>
      </c>
      <c r="D221" s="179" t="str">
        <f aca="false">IF(TRIM(Tracker!J215)="",Tracker!I215,Tracker!J215)</f>
        <v>Lynn</v>
      </c>
      <c r="E221" s="180" t="n">
        <f aca="false">IF(ISNUMBER(Tracker!K215),Tracker!K215,IF(ISNUMBER(Tracker!L215),Tracker!L215,0))</f>
        <v>46204</v>
      </c>
      <c r="F221" s="180" t="n">
        <f aca="false">IF(ISNUMBER(Tracker!L215),Tracker!L215,IF(ISNUMBER(Tracker!K215),Tracker!K215,0))</f>
        <v>46521</v>
      </c>
      <c r="DU221" s="0" t="str">
        <f aca="false">Tracker!M215</f>
        <v>On Track</v>
      </c>
    </row>
    <row r="222" customFormat="false" ht="15" hidden="false" customHeight="false" outlineLevel="1" collapsed="false">
      <c r="A222" s="179" t="str">
        <f aca="false">Tracker!F216</f>
        <v>CM.GTS.04</v>
      </c>
      <c r="B222" s="179" t="str">
        <f aca="false">Tracker!G216</f>
        <v>Support with the establishment of the Guest Services Workforce &amp; Training Onboarding, Specific Training &amp; any Specialist Training</v>
      </c>
      <c r="C222" s="179" t="str">
        <f aca="false">TRIM(Tracker!D216)</f>
        <v>Guest Services (GTS) - Services</v>
      </c>
      <c r="D222" s="179" t="str">
        <f aca="false">IF(TRIM(Tracker!J216)="",Tracker!I216,Tracker!J216)</f>
        <v>Lynn</v>
      </c>
      <c r="E222" s="180" t="n">
        <f aca="false">IF(ISNUMBER(Tracker!K216),Tracker!K216,IF(ISNUMBER(Tracker!L216),Tracker!L216,0))</f>
        <v>46204</v>
      </c>
      <c r="F222" s="180" t="n">
        <f aca="false">IF(ISNUMBER(Tracker!L216),Tracker!L216,IF(ISNUMBER(Tracker!K216),Tracker!K216,0))</f>
        <v>46327</v>
      </c>
      <c r="DU222" s="0" t="str">
        <f aca="false">Tracker!M216</f>
        <v>Not Started</v>
      </c>
    </row>
    <row r="223" customFormat="false" ht="15" hidden="false" customHeight="false" outlineLevel="1" collapsed="false">
      <c r="A223" s="179" t="str">
        <f aca="false">Tracker!F217</f>
        <v>CM.GTS.05</v>
      </c>
      <c r="B223" s="179" t="str">
        <f aca="false">Tracker!G217</f>
        <v>Guest Services Systems &amp; Technology Integration (Chatbot, App, L&amp;F database) </v>
      </c>
      <c r="C223" s="179" t="str">
        <f aca="false">TRIM(Tracker!D217)</f>
        <v>Guest Services (GTS) - Services</v>
      </c>
      <c r="D223" s="179" t="str">
        <f aca="false">IF(TRIM(Tracker!J217)="",Tracker!I217,Tracker!J217)</f>
        <v>Lynn</v>
      </c>
      <c r="E223" s="180" t="n">
        <f aca="false">IF(ISNUMBER(Tracker!K217),Tracker!K217,IF(ISNUMBER(Tracker!L217),Tracker!L217,0))</f>
        <v>46204</v>
      </c>
      <c r="F223" s="180" t="n">
        <f aca="false">IF(ISNUMBER(Tracker!L217),Tracker!L217,IF(ISNUMBER(Tracker!K217),Tracker!K217,0))</f>
        <v>46388</v>
      </c>
      <c r="DU223" s="0" t="str">
        <f aca="false">Tracker!M217</f>
        <v>On Track</v>
      </c>
    </row>
    <row r="224" customFormat="false" ht="15" hidden="false" customHeight="false" outlineLevel="1" collapsed="false">
      <c r="A224" s="179" t="str">
        <f aca="false">Tracker!F218</f>
        <v>CM.GTS-S05.1</v>
      </c>
      <c r="B224" s="179" t="str">
        <f aca="false">Tracker!G218</f>
        <v>Specification of the system for schools to register for Expo school visits</v>
      </c>
      <c r="C224" s="179" t="str">
        <f aca="false">TRIM(Tracker!D218)</f>
        <v>Guest Services (GTS) - Services</v>
      </c>
      <c r="D224" s="179" t="str">
        <f aca="false">IF(TRIM(Tracker!J218)="",Tracker!I218,Tracker!J218)</f>
        <v>Lynn</v>
      </c>
      <c r="E224" s="180" t="n">
        <f aca="false">IF(ISNUMBER(Tracker!K218),Tracker!K218,IF(ISNUMBER(Tracker!L218),Tracker!L218,0))</f>
        <v>46025</v>
      </c>
      <c r="F224" s="180" t="n">
        <f aca="false">IF(ISNUMBER(Tracker!L218),Tracker!L218,IF(ISNUMBER(Tracker!K218),Tracker!K218,0))</f>
        <v>46265</v>
      </c>
      <c r="DU224" s="0" t="str">
        <f aca="false">Tracker!M218</f>
        <v>On Track</v>
      </c>
    </row>
    <row r="225" customFormat="false" ht="15" hidden="false" customHeight="false" outlineLevel="1" collapsed="false">
      <c r="A225" s="179" t="str">
        <f aca="false">Tracker!F219</f>
        <v>CM.GTS.06</v>
      </c>
      <c r="B225" s="179" t="str">
        <f aca="false">Tracker!G219</f>
        <v>Visitor Journey &amp; Service Standards Confirmation</v>
      </c>
      <c r="C225" s="179" t="str">
        <f aca="false">TRIM(Tracker!D219)</f>
        <v>Guest Services (GTS) - Services</v>
      </c>
      <c r="D225" s="179" t="str">
        <f aca="false">IF(TRIM(Tracker!J219)="",Tracker!I219,Tracker!J219)</f>
        <v>Lynn</v>
      </c>
      <c r="E225" s="180" t="n">
        <f aca="false">IF(ISNUMBER(Tracker!K219),Tracker!K219,IF(ISNUMBER(Tracker!L219),Tracker!L219,0))</f>
        <v>46204</v>
      </c>
      <c r="F225" s="180" t="n">
        <f aca="false">IF(ISNUMBER(Tracker!L219),Tracker!L219,IF(ISNUMBER(Tracker!K219),Tracker!K219,0))</f>
        <v>46388</v>
      </c>
      <c r="DU225" s="0" t="str">
        <f aca="false">Tracker!M219</f>
        <v>Not started</v>
      </c>
    </row>
    <row r="226" customFormat="false" ht="15" hidden="false" customHeight="false" outlineLevel="1" collapsed="false">
      <c r="A226" s="179" t="str">
        <f aca="false">Tracker!F220</f>
        <v>CM.GTS.07</v>
      </c>
      <c r="B226" s="179" t="str">
        <f aca="false">Tracker!G220</f>
        <v>Review Guest Services Facilities &amp; Operational Readiness</v>
      </c>
      <c r="C226" s="179" t="str">
        <f aca="false">TRIM(Tracker!D220)</f>
        <v>Guest Services (GTS) - Services</v>
      </c>
      <c r="D226" s="179" t="str">
        <f aca="false">IF(TRIM(Tracker!J220)="",Tracker!I220,Tracker!J220)</f>
        <v>Lynn</v>
      </c>
      <c r="E226" s="180" t="n">
        <f aca="false">IF(ISNUMBER(Tracker!K220),Tracker!K220,IF(ISNUMBER(Tracker!L220),Tracker!L220,0))</f>
        <v>46204</v>
      </c>
      <c r="F226" s="180" t="n">
        <f aca="false">IF(ISNUMBER(Tracker!L220),Tracker!L220,IF(ISNUMBER(Tracker!K220),Tracker!K220,0))</f>
        <v>46521</v>
      </c>
      <c r="DU226" s="0" t="str">
        <f aca="false">Tracker!M220</f>
        <v>On Track</v>
      </c>
    </row>
    <row r="227" customFormat="false" ht="15" hidden="false" customHeight="false" outlineLevel="1" collapsed="false">
      <c r="A227" s="179" t="str">
        <f aca="false">Tracker!F221</f>
        <v>CM.GTS.08</v>
      </c>
      <c r="B227" s="179" t="str">
        <f aca="false">Tracker!G221</f>
        <v>Guest Services Readiness Reviews</v>
      </c>
      <c r="C227" s="179" t="str">
        <f aca="false">TRIM(Tracker!D221)</f>
        <v>Guest Services (GTS) - Services</v>
      </c>
      <c r="D227" s="179" t="str">
        <f aca="false">IF(TRIM(Tracker!J221)="",Tracker!I221,Tracker!J221)</f>
        <v>Lynn</v>
      </c>
      <c r="E227" s="180" t="n">
        <f aca="false">IF(ISNUMBER(Tracker!K221),Tracker!K221,IF(ISNUMBER(Tracker!L221),Tracker!L221,0))</f>
        <v>46204</v>
      </c>
      <c r="F227" s="180" t="n">
        <f aca="false">IF(ISNUMBER(Tracker!L221),Tracker!L221,IF(ISNUMBER(Tracker!K221),Tracker!K221,0))</f>
        <v>46491</v>
      </c>
      <c r="DU227" s="0" t="str">
        <f aca="false">Tracker!M221</f>
        <v>On Track</v>
      </c>
    </row>
    <row r="228" customFormat="false" ht="15" hidden="false" customHeight="false" outlineLevel="1" collapsed="false">
      <c r="A228" s="179" t="str">
        <f aca="false">Tracker!F222</f>
        <v>CM.GTS.09</v>
      </c>
      <c r="B228" s="179" t="str">
        <f aca="false">Tracker!G222</f>
        <v>Guest Services Paid &amp; Volunteer staff headcount finalisation</v>
      </c>
      <c r="C228" s="179" t="str">
        <f aca="false">TRIM(Tracker!D222)</f>
        <v>Guest Services (GTS) - Services</v>
      </c>
      <c r="D228" s="179" t="str">
        <f aca="false">IF(TRIM(Tracker!J222)="",Tracker!I222,Tracker!J222)</f>
        <v>Lynn</v>
      </c>
      <c r="E228" s="180" t="n">
        <f aca="false">IF(ISNUMBER(Tracker!K222),Tracker!K222,IF(ISNUMBER(Tracker!L222),Tracker!L222,0))</f>
        <v>46204</v>
      </c>
      <c r="F228" s="180" t="n">
        <f aca="false">IF(ISNUMBER(Tracker!L222),Tracker!L222,IF(ISNUMBER(Tracker!K222),Tracker!K222,0))</f>
        <v>46327</v>
      </c>
      <c r="DU228" s="0" t="str">
        <f aca="false">Tracker!M222</f>
        <v>On Track</v>
      </c>
    </row>
    <row r="229" customFormat="false" ht="15.75" hidden="false" customHeight="true" outlineLevel="0" collapsed="false">
      <c r="A229" s="175"/>
      <c r="B229" s="176" t="s">
        <v>1360</v>
      </c>
      <c r="C229" s="176" t="s">
        <v>1360</v>
      </c>
      <c r="D229" s="175"/>
      <c r="E229" s="177" t="n">
        <f aca="false">IFERROR(_xlfn.MINIFS(E230:E230,E230:E230,"&gt;0"),0)</f>
        <v>0</v>
      </c>
      <c r="F229" s="177" t="n">
        <f aca="false">IFERROR(_xlfn.MAXIFS(F230:F230,F230:F230,"&gt;0"),0)</f>
        <v>0</v>
      </c>
      <c r="DU229" s="178" t="s">
        <v>1357</v>
      </c>
    </row>
    <row r="230" customFormat="false" ht="15" hidden="false" customHeight="false" outlineLevel="1" collapsed="false">
      <c r="A230" s="179" t="n">
        <f aca="false">Tracker!F223</f>
        <v>0</v>
      </c>
      <c r="B230" s="179" t="str">
        <f aca="false">Tracker!G223</f>
        <v>Site H&amp;S  Induction Plan </v>
      </c>
      <c r="C230" s="179" t="str">
        <f aca="false">TRIM(Tracker!D223)</f>
        <v>Health &amp; Safety</v>
      </c>
      <c r="D230" s="179" t="str">
        <f aca="false">IF(TRIM(Tracker!J223)="",Tracker!I223,Tracker!J223)</f>
        <v>David </v>
      </c>
      <c r="E230" s="180" t="n">
        <f aca="false">IF(ISNUMBER(Tracker!K223),Tracker!K223,IF(ISNUMBER(Tracker!L223),Tracker!L223,0))</f>
        <v>0</v>
      </c>
      <c r="F230" s="180" t="n">
        <f aca="false">IF(ISNUMBER(Tracker!L223),Tracker!L223,IF(ISNUMBER(Tracker!K223),Tracker!K223,0))</f>
        <v>0</v>
      </c>
      <c r="DU230" s="0" t="str">
        <f aca="false">Tracker!M223</f>
        <v>Complete</v>
      </c>
    </row>
    <row r="231" customFormat="false" ht="15.75" hidden="false" customHeight="true" outlineLevel="0" collapsed="false">
      <c r="A231" s="175"/>
      <c r="B231" s="176" t="s">
        <v>770</v>
      </c>
      <c r="C231" s="176" t="s">
        <v>770</v>
      </c>
      <c r="D231" s="175"/>
      <c r="E231" s="177" t="n">
        <f aca="false">IFERROR(_xlfn.MINIFS(E232:E233,E232:E233,"&gt;0"),0)</f>
        <v>46357</v>
      </c>
      <c r="F231" s="177" t="n">
        <f aca="false">IFERROR(_xlfn.MAXIFS(F232:F233,F232:F233,"&gt;0"),0)</f>
        <v>46402</v>
      </c>
      <c r="DU231" s="178" t="s">
        <v>1357</v>
      </c>
    </row>
    <row r="232" customFormat="false" ht="15" hidden="false" customHeight="false" outlineLevel="1" collapsed="false">
      <c r="A232" s="179" t="str">
        <f aca="false">Tracker!F224</f>
        <v>KM.3</v>
      </c>
      <c r="B232" s="179" t="str">
        <f aca="false">Tracker!G224</f>
        <v>Event-Time Headcount Approved</v>
      </c>
      <c r="C232" s="179" t="str">
        <f aca="false">TRIM(Tracker!D224)</f>
        <v>HR</v>
      </c>
      <c r="D232" s="179" t="str">
        <f aca="false">IF(TRIM(Tracker!J224)="",Tracker!I224,Tracker!J224)</f>
        <v>Department Led</v>
      </c>
      <c r="E232" s="180" t="n">
        <f aca="false">IF(ISNUMBER(Tracker!K224),Tracker!K224,IF(ISNUMBER(Tracker!L224),Tracker!L224,0))</f>
        <v>46402</v>
      </c>
      <c r="F232" s="180" t="n">
        <f aca="false">IF(ISNUMBER(Tracker!L224),Tracker!L224,IF(ISNUMBER(Tracker!K224),Tracker!K224,0))</f>
        <v>46402</v>
      </c>
      <c r="DU232" s="0" t="str">
        <f aca="false">Tracker!M224</f>
        <v>No Update Received</v>
      </c>
    </row>
    <row r="233" customFormat="false" ht="15" hidden="false" customHeight="false" outlineLevel="1" collapsed="false">
      <c r="A233" s="179" t="str">
        <f aca="false">Tracker!F225</f>
        <v>KM.17</v>
      </c>
      <c r="B233" s="179" t="str">
        <f aca="false">Tracker!G225</f>
        <v>General Training Commence</v>
      </c>
      <c r="C233" s="179" t="str">
        <f aca="false">TRIM(Tracker!D225)</f>
        <v>HR</v>
      </c>
      <c r="D233" s="179" t="str">
        <f aca="false">IF(TRIM(Tracker!J225)="",Tracker!I225,Tracker!J225)</f>
        <v>Department Led</v>
      </c>
      <c r="E233" s="180" t="n">
        <f aca="false">IF(ISNUMBER(Tracker!K225),Tracker!K225,IF(ISNUMBER(Tracker!L225),Tracker!L225,0))</f>
        <v>46357</v>
      </c>
      <c r="F233" s="180" t="n">
        <f aca="false">IF(ISNUMBER(Tracker!L225),Tracker!L225,IF(ISNUMBER(Tracker!K225),Tracker!K225,0))</f>
        <v>46357</v>
      </c>
      <c r="DU233" s="0" t="str">
        <f aca="false">Tracker!M225</f>
        <v>On Track</v>
      </c>
    </row>
    <row r="234" customFormat="false" ht="15.75" hidden="false" customHeight="true" outlineLevel="0" collapsed="false">
      <c r="A234" s="175"/>
      <c r="B234" s="176" t="s">
        <v>775</v>
      </c>
      <c r="C234" s="176" t="s">
        <v>775</v>
      </c>
      <c r="D234" s="175"/>
      <c r="E234" s="177" t="n">
        <f aca="false">IFERROR(_xlfn.MINIFS(E235:E241,E235:E241,"&gt;0"),0)</f>
        <v>46461</v>
      </c>
      <c r="F234" s="177" t="n">
        <f aca="false">IFERROR(_xlfn.MAXIFS(F235:F241,F235:F241,"&gt;0"),0)</f>
        <v>46492</v>
      </c>
      <c r="DU234" s="178" t="s">
        <v>1357</v>
      </c>
    </row>
    <row r="235" customFormat="false" ht="15" hidden="false" customHeight="false" outlineLevel="1" collapsed="false">
      <c r="A235" s="179" t="str">
        <f aca="false">Tracker!F226</f>
        <v>KM.12</v>
      </c>
      <c r="B235" s="179" t="str">
        <f aca="false">Tracker!G226</f>
        <v>Technology Design Freeze</v>
      </c>
      <c r="C235" s="179" t="str">
        <f aca="false">TRIM(Tracker!D226)</f>
        <v>IT</v>
      </c>
      <c r="D235" s="179" t="str">
        <f aca="false">IF(TRIM(Tracker!J226)="",Tracker!I226,Tracker!J226)</f>
        <v>Department Led</v>
      </c>
      <c r="E235" s="180" t="n">
        <f aca="false">IF(ISNUMBER(Tracker!K226),Tracker!K226,IF(ISNUMBER(Tracker!L226),Tracker!L226,0))</f>
        <v>46461</v>
      </c>
      <c r="F235" s="180" t="n">
        <f aca="false">IF(ISNUMBER(Tracker!L226),Tracker!L226,IF(ISNUMBER(Tracker!K226),Tracker!K226,0))</f>
        <v>46461</v>
      </c>
      <c r="DU235" s="0" t="str">
        <f aca="false">Tracker!M226</f>
        <v>Not Started</v>
      </c>
    </row>
    <row r="236" customFormat="false" ht="15" hidden="false" customHeight="false" outlineLevel="1" collapsed="false">
      <c r="A236" s="179" t="str">
        <f aca="false">Tracker!F227</f>
        <v>KM.13</v>
      </c>
      <c r="B236" s="179" t="str">
        <f aca="false">Tracker!G227</f>
        <v>Technology Rehearsal 1 - Complete</v>
      </c>
      <c r="C236" s="179" t="str">
        <f aca="false">TRIM(Tracker!D227)</f>
        <v>IT</v>
      </c>
      <c r="D236" s="179" t="str">
        <f aca="false">IF(TRIM(Tracker!J227)="",Tracker!I227,Tracker!J227)</f>
        <v>Department Led</v>
      </c>
      <c r="E236" s="180" t="n">
        <f aca="false">IF(ISNUMBER(Tracker!K227),Tracker!K227,IF(ISNUMBER(Tracker!L227),Tracker!L227,0))</f>
        <v>46487</v>
      </c>
      <c r="F236" s="180" t="n">
        <f aca="false">IF(ISNUMBER(Tracker!L227),Tracker!L227,IF(ISNUMBER(Tracker!K227),Tracker!K227,0))</f>
        <v>46487</v>
      </c>
      <c r="DU236" s="0" t="str">
        <f aca="false">Tracker!M227</f>
        <v>Not Started</v>
      </c>
    </row>
    <row r="237" customFormat="false" ht="15" hidden="false" customHeight="false" outlineLevel="1" collapsed="false">
      <c r="A237" s="179" t="str">
        <f aca="false">Tracker!F228</f>
        <v>KM.14</v>
      </c>
      <c r="B237" s="179" t="str">
        <f aca="false">Tracker!G228</f>
        <v>Technology Rehearsal 2 - Complete</v>
      </c>
      <c r="C237" s="179" t="str">
        <f aca="false">TRIM(Tracker!D228)</f>
        <v>IT</v>
      </c>
      <c r="D237" s="179" t="str">
        <f aca="false">IF(TRIM(Tracker!J228)="",Tracker!I228,Tracker!J228)</f>
        <v>Department Led</v>
      </c>
      <c r="E237" s="180" t="n">
        <f aca="false">IF(ISNUMBER(Tracker!K228),Tracker!K228,IF(ISNUMBER(Tracker!L228),Tracker!L228,0))</f>
        <v>46492</v>
      </c>
      <c r="F237" s="180" t="n">
        <f aca="false">IF(ISNUMBER(Tracker!L228),Tracker!L228,IF(ISNUMBER(Tracker!K228),Tracker!K228,0))</f>
        <v>46492</v>
      </c>
      <c r="DU237" s="0" t="str">
        <f aca="false">Tracker!M228</f>
        <v>Not Started</v>
      </c>
    </row>
    <row r="238" customFormat="false" ht="15" hidden="false" customHeight="false" outlineLevel="1" collapsed="false">
      <c r="A238" s="179" t="str">
        <f aca="false">Tracker!F229</f>
        <v>KM.12</v>
      </c>
      <c r="B238" s="179" t="str">
        <f aca="false">Tracker!G229</f>
        <v>Technology Design Freeze</v>
      </c>
      <c r="C238" s="179" t="str">
        <f aca="false">TRIM(Tracker!D229)</f>
        <v>IT</v>
      </c>
      <c r="D238" s="179" t="str">
        <f aca="false">IF(TRIM(Tracker!J229)="",Tracker!I229,Tracker!J229)</f>
        <v>Department Led</v>
      </c>
      <c r="E238" s="180" t="n">
        <f aca="false">IF(ISNUMBER(Tracker!K229),Tracker!K229,IF(ISNUMBER(Tracker!L229),Tracker!L229,0))</f>
        <v>0</v>
      </c>
      <c r="F238" s="180" t="n">
        <f aca="false">IF(ISNUMBER(Tracker!L229),Tracker!L229,IF(ISNUMBER(Tracker!K229),Tracker!K229,0))</f>
        <v>0</v>
      </c>
      <c r="DU238" s="0" t="str">
        <f aca="false">Tracker!M229</f>
        <v>No Update Received</v>
      </c>
    </row>
    <row r="239" customFormat="false" ht="15" hidden="false" customHeight="false" outlineLevel="1" collapsed="false">
      <c r="A239" s="179" t="str">
        <f aca="false">Tracker!F230</f>
        <v>KM.13</v>
      </c>
      <c r="B239" s="179" t="str">
        <f aca="false">Tracker!G230</f>
        <v>Technology Rehearsal 1 - Complete</v>
      </c>
      <c r="C239" s="179" t="str">
        <f aca="false">TRIM(Tracker!D230)</f>
        <v>IT</v>
      </c>
      <c r="D239" s="179" t="str">
        <f aca="false">IF(TRIM(Tracker!J230)="",Tracker!I230,Tracker!J230)</f>
        <v>Department Led</v>
      </c>
      <c r="E239" s="180" t="n">
        <f aca="false">IF(ISNUMBER(Tracker!K230),Tracker!K230,IF(ISNUMBER(Tracker!L230),Tracker!L230,0))</f>
        <v>0</v>
      </c>
      <c r="F239" s="180" t="n">
        <f aca="false">IF(ISNUMBER(Tracker!L230),Tracker!L230,IF(ISNUMBER(Tracker!K230),Tracker!K230,0))</f>
        <v>0</v>
      </c>
      <c r="DU239" s="0" t="str">
        <f aca="false">Tracker!M230</f>
        <v>No Update Received</v>
      </c>
    </row>
    <row r="240" customFormat="false" ht="15" hidden="false" customHeight="false" outlineLevel="1" collapsed="false">
      <c r="A240" s="179" t="str">
        <f aca="false">Tracker!F231</f>
        <v>KM.14</v>
      </c>
      <c r="B240" s="179" t="str">
        <f aca="false">Tracker!G231</f>
        <v>Technology Rehearsal 2 - Complete</v>
      </c>
      <c r="C240" s="179" t="str">
        <f aca="false">TRIM(Tracker!D231)</f>
        <v>IT</v>
      </c>
      <c r="D240" s="179" t="str">
        <f aca="false">IF(TRIM(Tracker!J231)="",Tracker!I231,Tracker!J231)</f>
        <v>Department Led</v>
      </c>
      <c r="E240" s="180" t="n">
        <f aca="false">IF(ISNUMBER(Tracker!K231),Tracker!K231,IF(ISNUMBER(Tracker!L231),Tracker!L231,0))</f>
        <v>0</v>
      </c>
      <c r="F240" s="180" t="n">
        <f aca="false">IF(ISNUMBER(Tracker!L231),Tracker!L231,IF(ISNUMBER(Tracker!K231),Tracker!K231,0))</f>
        <v>0</v>
      </c>
      <c r="DU240" s="0" t="str">
        <f aca="false">Tracker!M231</f>
        <v>No Update Received</v>
      </c>
    </row>
    <row r="241" customFormat="false" ht="15" hidden="false" customHeight="false" outlineLevel="1" collapsed="false">
      <c r="A241" s="179" t="str">
        <f aca="false">Tracker!F232</f>
        <v>KM.15</v>
      </c>
      <c r="B241" s="179" t="str">
        <f aca="false">Tracker!G232</f>
        <v>Technology Business Requirements Freeze</v>
      </c>
      <c r="C241" s="179" t="str">
        <f aca="false">TRIM(Tracker!D232)</f>
        <v>IT</v>
      </c>
      <c r="D241" s="179" t="str">
        <f aca="false">IF(TRIM(Tracker!J232)="",Tracker!I232,Tracker!J232)</f>
        <v>Department Led</v>
      </c>
      <c r="E241" s="180" t="n">
        <f aca="false">IF(ISNUMBER(Tracker!K232),Tracker!K232,IF(ISNUMBER(Tracker!L232),Tracker!L232,0))</f>
        <v>0</v>
      </c>
      <c r="F241" s="180" t="n">
        <f aca="false">IF(ISNUMBER(Tracker!L232),Tracker!L232,IF(ISNUMBER(Tracker!K232),Tracker!K232,0))</f>
        <v>0</v>
      </c>
      <c r="DU241" s="0" t="str">
        <f aca="false">Tracker!M232</f>
        <v>No Update Received</v>
      </c>
    </row>
    <row r="242" customFormat="false" ht="15.75" hidden="false" customHeight="true" outlineLevel="0" collapsed="false">
      <c r="A242" s="175"/>
      <c r="B242" s="176" t="s">
        <v>784</v>
      </c>
      <c r="C242" s="176" t="s">
        <v>784</v>
      </c>
      <c r="D242" s="175"/>
      <c r="E242" s="177" t="n">
        <f aca="false">IFERROR(_xlfn.MINIFS(E243:E272,E243:E272,"&gt;0"),0)</f>
        <v>46225</v>
      </c>
      <c r="F242" s="177" t="n">
        <f aca="false">IFERROR(_xlfn.MAXIFS(F243:F272,F243:F272,"&gt;0"),0)</f>
        <v>46493</v>
      </c>
      <c r="DU242" s="178" t="s">
        <v>1357</v>
      </c>
    </row>
    <row r="243" customFormat="false" ht="15" hidden="false" customHeight="false" outlineLevel="1" collapsed="false">
      <c r="A243" s="179" t="str">
        <f aca="false">Tracker!F233</f>
        <v>KM.108</v>
      </c>
      <c r="B243" s="179" t="str">
        <f aca="false">Tracker!G233</f>
        <v>Logistics Operator (Official Logistics Service Provider) Awarded</v>
      </c>
      <c r="C243" s="179" t="str">
        <f aca="false">TRIM(Tracker!D233)</f>
        <v>Logistics (LOG)</v>
      </c>
      <c r="D243" s="179" t="str">
        <f aca="false">IF(TRIM(Tracker!J233)="",Tracker!I233,Tracker!J233)</f>
        <v>Vijay</v>
      </c>
      <c r="E243" s="180" t="n">
        <f aca="false">IF(ISNUMBER(Tracker!K233),Tracker!K233,IF(ISNUMBER(Tracker!L233),Tracker!L233,0))</f>
        <v>46234</v>
      </c>
      <c r="F243" s="180" t="n">
        <f aca="false">IF(ISNUMBER(Tracker!L233),Tracker!L233,IF(ISNUMBER(Tracker!K233),Tracker!K233,0))</f>
        <v>46234</v>
      </c>
      <c r="DU243" s="0" t="str">
        <f aca="false">Tracker!M233</f>
        <v>At Risk</v>
      </c>
    </row>
    <row r="244" customFormat="false" ht="15" hidden="false" customHeight="false" outlineLevel="1" collapsed="false">
      <c r="A244" s="179" t="str">
        <f aca="false">Tracker!F234</f>
        <v>KM.152</v>
      </c>
      <c r="B244" s="179" t="str">
        <f aca="false">Tracker!G234</f>
        <v>Logistics Operator (Partnership) Awarded</v>
      </c>
      <c r="C244" s="179" t="str">
        <f aca="false">TRIM(Tracker!D234)</f>
        <v>Logistics (LOG)</v>
      </c>
      <c r="D244" s="179" t="str">
        <f aca="false">IF(TRIM(Tracker!J234)="",Tracker!I234,Tracker!J234)</f>
        <v>Vijay</v>
      </c>
      <c r="E244" s="180" t="n">
        <f aca="false">IF(ISNUMBER(Tracker!K234),Tracker!K234,IF(ISNUMBER(Tracker!L234),Tracker!L234,0))</f>
        <v>46262</v>
      </c>
      <c r="F244" s="180" t="n">
        <f aca="false">IF(ISNUMBER(Tracker!L234),Tracker!L234,IF(ISNUMBER(Tracker!K234),Tracker!K234,0))</f>
        <v>46262</v>
      </c>
      <c r="DU244" s="0" t="str">
        <f aca="false">Tracker!M234</f>
        <v>At Risk</v>
      </c>
    </row>
    <row r="245" customFormat="false" ht="15" hidden="false" customHeight="false" outlineLevel="1" collapsed="false">
      <c r="A245" s="179" t="str">
        <f aca="false">Tracker!F235</f>
        <v>KM.153</v>
      </c>
      <c r="B245" s="179" t="str">
        <f aca="false">Tracker!G235</f>
        <v>Logistics Zone Fully Operational (including VSA)</v>
      </c>
      <c r="C245" s="179" t="str">
        <f aca="false">TRIM(Tracker!D235)</f>
        <v>Logistics (LOG)</v>
      </c>
      <c r="D245" s="179" t="str">
        <f aca="false">IF(TRIM(Tracker!J235)="",Tracker!I235,Tracker!J235)</f>
        <v>Vijay</v>
      </c>
      <c r="E245" s="180" t="n">
        <f aca="false">IF(ISNUMBER(Tracker!K235),Tracker!K235,IF(ISNUMBER(Tracker!L235),Tracker!L235,0))</f>
        <v>46482</v>
      </c>
      <c r="F245" s="180" t="n">
        <f aca="false">IF(ISNUMBER(Tracker!L235),Tracker!L235,IF(ISNUMBER(Tracker!K235),Tracker!K235,0))</f>
        <v>46482</v>
      </c>
      <c r="DU245" s="0" t="str">
        <f aca="false">Tracker!M235</f>
        <v>On Track</v>
      </c>
    </row>
    <row r="246" customFormat="false" ht="15" hidden="false" customHeight="false" outlineLevel="1" collapsed="false">
      <c r="A246" s="179" t="str">
        <f aca="false">Tracker!F236</f>
        <v>KM.154</v>
      </c>
      <c r="B246" s="179" t="str">
        <f aca="false">Tracker!G236</f>
        <v>Delivery Management System (DMS) Go Live</v>
      </c>
      <c r="C246" s="179" t="str">
        <f aca="false">TRIM(Tracker!D236)</f>
        <v>Logistics (LOG)</v>
      </c>
      <c r="D246" s="179" t="str">
        <f aca="false">IF(TRIM(Tracker!J236)="",Tracker!I236,Tracker!J236)</f>
        <v>Vijay</v>
      </c>
      <c r="E246" s="180" t="n">
        <f aca="false">IF(ISNUMBER(Tracker!K236),Tracker!K236,IF(ISNUMBER(Tracker!L236),Tracker!L236,0))</f>
        <v>46493</v>
      </c>
      <c r="F246" s="180" t="n">
        <f aca="false">IF(ISNUMBER(Tracker!L236),Tracker!L236,IF(ISNUMBER(Tracker!K236),Tracker!K236,0))</f>
        <v>46493</v>
      </c>
      <c r="DU246" s="0" t="str">
        <f aca="false">Tracker!M236</f>
        <v>At Risk</v>
      </c>
    </row>
    <row r="247" customFormat="false" ht="15" hidden="false" customHeight="false" outlineLevel="1" collapsed="false">
      <c r="A247" s="179" t="str">
        <f aca="false">Tracker!F237</f>
        <v>KM.155</v>
      </c>
      <c r="B247" s="179" t="str">
        <f aca="false">Tracker!G237</f>
        <v>On-Site Customs Office Fully Operational</v>
      </c>
      <c r="C247" s="179" t="str">
        <f aca="false">TRIM(Tracker!D237)</f>
        <v>Logistics (LOG)</v>
      </c>
      <c r="D247" s="179" t="str">
        <f aca="false">IF(TRIM(Tracker!J237)="",Tracker!I237,Tracker!J237)</f>
        <v>Vijay</v>
      </c>
      <c r="E247" s="180" t="n">
        <f aca="false">IF(ISNUMBER(Tracker!K237),Tracker!K237,IF(ISNUMBER(Tracker!L237),Tracker!L237,0))</f>
        <v>46296</v>
      </c>
      <c r="F247" s="180" t="n">
        <f aca="false">IF(ISNUMBER(Tracker!L237),Tracker!L237,IF(ISNUMBER(Tracker!K237),Tracker!K237,0))</f>
        <v>46296</v>
      </c>
      <c r="DU247" s="0" t="str">
        <f aca="false">Tracker!M237</f>
        <v>On Track</v>
      </c>
    </row>
    <row r="248" customFormat="false" ht="15" hidden="false" customHeight="false" outlineLevel="1" collapsed="false">
      <c r="A248" s="179" t="str">
        <f aca="false">Tracker!F238</f>
        <v>KM.156</v>
      </c>
      <c r="B248" s="179" t="str">
        <f aca="false">Tracker!G238</f>
        <v>Last Mile Phase Commence</v>
      </c>
      <c r="C248" s="179" t="str">
        <f aca="false">TRIM(Tracker!D238)</f>
        <v>Logistics (LOG)</v>
      </c>
      <c r="D248" s="179" t="str">
        <f aca="false">IF(TRIM(Tracker!J238)="",Tracker!I238,Tracker!J238)</f>
        <v>Vijay</v>
      </c>
      <c r="E248" s="180" t="n">
        <f aca="false">IF(ISNUMBER(Tracker!K238),Tracker!K238,IF(ISNUMBER(Tracker!L238),Tracker!L238,0))</f>
        <v>46493</v>
      </c>
      <c r="F248" s="180" t="n">
        <f aca="false">IF(ISNUMBER(Tracker!L238),Tracker!L238,IF(ISNUMBER(Tracker!K238),Tracker!K238,0))</f>
        <v>46493</v>
      </c>
      <c r="DU248" s="0" t="str">
        <f aca="false">Tracker!M238</f>
        <v>At Risk</v>
      </c>
    </row>
    <row r="249" customFormat="false" ht="15" hidden="false" customHeight="false" outlineLevel="1" collapsed="false">
      <c r="A249" s="179" t="str">
        <f aca="false">Tracker!F239</f>
        <v>KM.157</v>
      </c>
      <c r="B249" s="179" t="str">
        <f aca="false">Tracker!G239</f>
        <v>Dissolution Plan</v>
      </c>
      <c r="C249" s="179" t="str">
        <f aca="false">TRIM(Tracker!D239)</f>
        <v>Logistics (LOG)</v>
      </c>
      <c r="D249" s="179" t="str">
        <f aca="false">IF(TRIM(Tracker!J239)="",Tracker!I239,Tracker!J239)</f>
        <v>Vijay</v>
      </c>
      <c r="E249" s="180" t="n">
        <f aca="false">IF(ISNUMBER(Tracker!K239),Tracker!K239,IF(ISNUMBER(Tracker!L239),Tracker!L239,0))</f>
        <v>0</v>
      </c>
      <c r="F249" s="180" t="n">
        <f aca="false">IF(ISNUMBER(Tracker!L239),Tracker!L239,IF(ISNUMBER(Tracker!K239),Tracker!K239,0))</f>
        <v>0</v>
      </c>
      <c r="DU249" s="178" t="n">
        <f aca="false">Tracker!M239</f>
        <v>0</v>
      </c>
    </row>
    <row r="250" customFormat="false" ht="15" hidden="false" customHeight="false" outlineLevel="1" collapsed="false">
      <c r="A250" s="179" t="str">
        <f aca="false">Tracker!F240</f>
        <v>KM.151</v>
      </c>
      <c r="B250" s="179" t="str">
        <f aca="false">Tracker!G240</f>
        <v>On- Site Logistics Warehouse Fully Operational</v>
      </c>
      <c r="C250" s="179" t="str">
        <f aca="false">TRIM(Tracker!D240)</f>
        <v>Logistics (LOG)</v>
      </c>
      <c r="D250" s="179" t="str">
        <f aca="false">IF(TRIM(Tracker!J240)="",Tracker!I240,Tracker!J240)</f>
        <v>Vijay</v>
      </c>
      <c r="E250" s="180" t="n">
        <f aca="false">IF(ISNUMBER(Tracker!K240),Tracker!K240,IF(ISNUMBER(Tracker!L240),Tracker!L240,0))</f>
        <v>46363</v>
      </c>
      <c r="F250" s="180" t="n">
        <f aca="false">IF(ISNUMBER(Tracker!L240),Tracker!L240,IF(ISNUMBER(Tracker!K240),Tracker!K240,0))</f>
        <v>46363</v>
      </c>
      <c r="DU250" s="0" t="str">
        <f aca="false">Tracker!M240</f>
        <v>On Track</v>
      </c>
    </row>
    <row r="251" customFormat="false" ht="15" hidden="false" customHeight="false" outlineLevel="1" collapsed="false">
      <c r="A251" s="179" t="str">
        <f aca="false">Tracker!F241</f>
        <v>NEW</v>
      </c>
      <c r="B251" s="179" t="str">
        <f aca="false">Tracker!G241</f>
        <v>Customs Clearance &amp; Freight Forwarding Services Live</v>
      </c>
      <c r="C251" s="179" t="str">
        <f aca="false">TRIM(Tracker!D241)</f>
        <v>Logistics (LOG)</v>
      </c>
      <c r="D251" s="179" t="str">
        <f aca="false">IF(TRIM(Tracker!J241)="",Tracker!I241,Tracker!J241)</f>
        <v>Vijay</v>
      </c>
      <c r="E251" s="180" t="n">
        <f aca="false">IF(ISNUMBER(Tracker!K241),Tracker!K241,IF(ISNUMBER(Tracker!L241),Tracker!L241,0))</f>
        <v>46296</v>
      </c>
      <c r="F251" s="180" t="n">
        <f aca="false">IF(ISNUMBER(Tracker!L241),Tracker!L241,IF(ISNUMBER(Tracker!K241),Tracker!K241,0))</f>
        <v>46296</v>
      </c>
      <c r="DU251" s="0" t="str">
        <f aca="false">Tracker!M241</f>
        <v>Not Started</v>
      </c>
    </row>
    <row r="252" customFormat="false" ht="15" hidden="false" customHeight="false" outlineLevel="1" collapsed="false">
      <c r="A252" s="179" t="str">
        <f aca="false">Tracker!F242</f>
        <v>NEW</v>
      </c>
      <c r="B252" s="179" t="str">
        <f aca="false">Tracker!G242</f>
        <v>Logistics Support Services Fully Operational</v>
      </c>
      <c r="C252" s="179" t="str">
        <f aca="false">TRIM(Tracker!D242)</f>
        <v>Logistics (LOG)</v>
      </c>
      <c r="D252" s="179" t="str">
        <f aca="false">IF(TRIM(Tracker!J242)="",Tracker!I242,Tracker!J242)</f>
        <v>Vijay</v>
      </c>
      <c r="E252" s="180" t="n">
        <f aca="false">IF(ISNUMBER(Tracker!K242),Tracker!K242,IF(ISNUMBER(Tracker!L242),Tracker!L242,0))</f>
        <v>46419</v>
      </c>
      <c r="F252" s="180" t="n">
        <f aca="false">IF(ISNUMBER(Tracker!L242),Tracker!L242,IF(ISNUMBER(Tracker!K242),Tracker!K242,0))</f>
        <v>46419</v>
      </c>
      <c r="DU252" s="0" t="str">
        <f aca="false">Tracker!M242</f>
        <v>Not Started</v>
      </c>
    </row>
    <row r="253" customFormat="false" ht="15" hidden="false" customHeight="false" outlineLevel="1" collapsed="false">
      <c r="A253" s="179" t="str">
        <f aca="false">Tracker!F243</f>
        <v>CM.LOG.01</v>
      </c>
      <c r="B253" s="179" t="str">
        <f aca="false">Tracker!G243</f>
        <v>Logistics Strategies &amp; Operational Plans</v>
      </c>
      <c r="C253" s="179" t="str">
        <f aca="false">TRIM(Tracker!D243)</f>
        <v>Logistics (LOG)</v>
      </c>
      <c r="D253" s="179" t="str">
        <f aca="false">IF(TRIM(Tracker!J243)="",Tracker!I243,Tracker!J243)</f>
        <v>Vijay</v>
      </c>
      <c r="E253" s="180" t="n">
        <f aca="false">IF(ISNUMBER(Tracker!K243),Tracker!K243,IF(ISNUMBER(Tracker!L243),Tracker!L243,0))</f>
        <v>0</v>
      </c>
      <c r="F253" s="180" t="n">
        <f aca="false">IF(ISNUMBER(Tracker!L243),Tracker!L243,IF(ISNUMBER(Tracker!K243),Tracker!K243,0))</f>
        <v>0</v>
      </c>
      <c r="DU253" s="0" t="str">
        <f aca="false">Tracker!M243</f>
        <v>No Update Received</v>
      </c>
    </row>
    <row r="254" customFormat="false" ht="15" hidden="false" customHeight="false" outlineLevel="1" collapsed="false">
      <c r="A254" s="179" t="str">
        <f aca="false">Tracker!F244</f>
        <v>CM.LOG.01.1</v>
      </c>
      <c r="B254" s="179" t="str">
        <f aca="false">Tracker!G244</f>
        <v>DOP V1</v>
      </c>
      <c r="C254" s="179" t="str">
        <f aca="false">TRIM(Tracker!D244)</f>
        <v>Logistics (LOG)</v>
      </c>
      <c r="D254" s="179" t="str">
        <f aca="false">IF(TRIM(Tracker!J244)="",Tracker!I244,Tracker!J244)</f>
        <v>Vijay</v>
      </c>
      <c r="E254" s="180" t="n">
        <f aca="false">IF(ISNUMBER(Tracker!K244),Tracker!K244,IF(ISNUMBER(Tracker!L244),Tracker!L244,0))</f>
        <v>46225</v>
      </c>
      <c r="F254" s="180" t="n">
        <f aca="false">IF(ISNUMBER(Tracker!L244),Tracker!L244,IF(ISNUMBER(Tracker!K244),Tracker!K244,0))</f>
        <v>46225</v>
      </c>
      <c r="DU254" s="0" t="str">
        <f aca="false">Tracker!M244</f>
        <v>Complete</v>
      </c>
    </row>
    <row r="255" customFormat="false" ht="15" hidden="false" customHeight="false" outlineLevel="1" collapsed="false">
      <c r="A255" s="179" t="str">
        <f aca="false">Tracker!F245</f>
        <v>CM.LOG.01.2</v>
      </c>
      <c r="B255" s="179" t="str">
        <f aca="false">Tracker!G245</f>
        <v>Logistics Revenue Generation Strategy</v>
      </c>
      <c r="C255" s="179" t="str">
        <f aca="false">TRIM(Tracker!D245)</f>
        <v>Logistics (LOG)</v>
      </c>
      <c r="D255" s="179" t="str">
        <f aca="false">IF(TRIM(Tracker!J245)="",Tracker!I245,Tracker!J245)</f>
        <v>Vijay</v>
      </c>
      <c r="E255" s="180" t="n">
        <f aca="false">IF(ISNUMBER(Tracker!K245),Tracker!K245,IF(ISNUMBER(Tracker!L245),Tracker!L245,0))</f>
        <v>46241</v>
      </c>
      <c r="F255" s="180" t="n">
        <f aca="false">IF(ISNUMBER(Tracker!L245),Tracker!L245,IF(ISNUMBER(Tracker!K245),Tracker!K245,0))</f>
        <v>46241</v>
      </c>
      <c r="DU255" s="0" t="str">
        <f aca="false">Tracker!M245</f>
        <v>On Track</v>
      </c>
    </row>
    <row r="256" customFormat="false" ht="15" hidden="false" customHeight="false" outlineLevel="1" collapsed="false">
      <c r="A256" s="179" t="str">
        <f aca="false">Tracker!F246</f>
        <v>CM.LOG.01.3</v>
      </c>
      <c r="B256" s="179" t="str">
        <f aca="false">Tracker!G246</f>
        <v>Material Transfer Area Strategy</v>
      </c>
      <c r="C256" s="179" t="str">
        <f aca="false">TRIM(Tracker!D246)</f>
        <v>Logistics (LOG)</v>
      </c>
      <c r="D256" s="179" t="str">
        <f aca="false">IF(TRIM(Tracker!J246)="",Tracker!I246,Tracker!J246)</f>
        <v>Vijay</v>
      </c>
      <c r="E256" s="180" t="n">
        <f aca="false">IF(ISNUMBER(Tracker!K246),Tracker!K246,IF(ISNUMBER(Tracker!L246),Tracker!L246,0))</f>
        <v>46241</v>
      </c>
      <c r="F256" s="180" t="n">
        <f aca="false">IF(ISNUMBER(Tracker!L246),Tracker!L246,IF(ISNUMBER(Tracker!K246),Tracker!K246,0))</f>
        <v>46241</v>
      </c>
      <c r="DU256" s="0" t="str">
        <f aca="false">Tracker!M246</f>
        <v>On Track</v>
      </c>
    </row>
    <row r="257" customFormat="false" ht="15" hidden="false" customHeight="false" outlineLevel="1" collapsed="false">
      <c r="A257" s="179" t="str">
        <f aca="false">Tracker!F247</f>
        <v>CM.LOG.01.4</v>
      </c>
      <c r="B257" s="179" t="str">
        <f aca="false">Tracker!G247</f>
        <v>Vendor Certificate Programme</v>
      </c>
      <c r="C257" s="179" t="str">
        <f aca="false">TRIM(Tracker!D247)</f>
        <v>Logistics (LOG)</v>
      </c>
      <c r="D257" s="179" t="str">
        <f aca="false">IF(TRIM(Tracker!J247)="",Tracker!I247,Tracker!J247)</f>
        <v>Vijay</v>
      </c>
      <c r="E257" s="180" t="n">
        <f aca="false">IF(ISNUMBER(Tracker!K247),Tracker!K247,IF(ISNUMBER(Tracker!L247),Tracker!L247,0))</f>
        <v>46241</v>
      </c>
      <c r="F257" s="180" t="n">
        <f aca="false">IF(ISNUMBER(Tracker!L247),Tracker!L247,IF(ISNUMBER(Tracker!K247),Tracker!K247,0))</f>
        <v>46241</v>
      </c>
      <c r="DU257" s="0" t="str">
        <f aca="false">Tracker!M247</f>
        <v>On Track</v>
      </c>
    </row>
    <row r="258" customFormat="false" ht="15" hidden="false" customHeight="false" outlineLevel="1" collapsed="false">
      <c r="A258" s="179" t="str">
        <f aca="false">Tracker!F248</f>
        <v>CM.LOG.01.5</v>
      </c>
      <c r="B258" s="179" t="str">
        <f aca="false">Tracker!G248</f>
        <v>Water Distribution Strategy</v>
      </c>
      <c r="C258" s="179" t="str">
        <f aca="false">TRIM(Tracker!D248)</f>
        <v>Logistics (LOG)</v>
      </c>
      <c r="D258" s="179" t="str">
        <f aca="false">IF(TRIM(Tracker!J248)="",Tracker!I248,Tracker!J248)</f>
        <v>Vijay</v>
      </c>
      <c r="E258" s="180" t="n">
        <f aca="false">IF(ISNUMBER(Tracker!K248),Tracker!K248,IF(ISNUMBER(Tracker!L248),Tracker!L248,0))</f>
        <v>46241</v>
      </c>
      <c r="F258" s="180" t="n">
        <f aca="false">IF(ISNUMBER(Tracker!L248),Tracker!L248,IF(ISNUMBER(Tracker!K248),Tracker!K248,0))</f>
        <v>46241</v>
      </c>
      <c r="DU258" s="0" t="str">
        <f aca="false">Tracker!M248</f>
        <v>On Track</v>
      </c>
    </row>
    <row r="259" customFormat="false" ht="15" hidden="false" customHeight="false" outlineLevel="1" collapsed="false">
      <c r="A259" s="179" t="str">
        <f aca="false">Tracker!F249</f>
        <v>CM.LOG.01.6</v>
      </c>
      <c r="B259" s="179" t="str">
        <f aca="false">Tracker!G249</f>
        <v>Fast Track Procurement Process for Event Time</v>
      </c>
      <c r="C259" s="179" t="str">
        <f aca="false">TRIM(Tracker!D249)</f>
        <v>Logistics (LOG)</v>
      </c>
      <c r="D259" s="179" t="str">
        <f aca="false">IF(TRIM(Tracker!J249)="",Tracker!I249,Tracker!J249)</f>
        <v>Vijay</v>
      </c>
      <c r="E259" s="180" t="n">
        <f aca="false">IF(ISNUMBER(Tracker!K249),Tracker!K249,IF(ISNUMBER(Tracker!L249),Tracker!L249,0))</f>
        <v>46241</v>
      </c>
      <c r="F259" s="180" t="n">
        <f aca="false">IF(ISNUMBER(Tracker!L249),Tracker!L249,IF(ISNUMBER(Tracker!K249),Tracker!K249,0))</f>
        <v>46241</v>
      </c>
      <c r="DU259" s="0" t="str">
        <f aca="false">Tracker!M249</f>
        <v>Not started</v>
      </c>
    </row>
    <row r="260" customFormat="false" ht="15" hidden="false" customHeight="false" outlineLevel="1" collapsed="false">
      <c r="A260" s="179" t="str">
        <f aca="false">Tracker!F250</f>
        <v>CM.LOG.01.7</v>
      </c>
      <c r="B260" s="179" t="str">
        <f aca="false">Tracker!G250</f>
        <v>Site Hands Strategy</v>
      </c>
      <c r="C260" s="179" t="str">
        <f aca="false">TRIM(Tracker!D250)</f>
        <v>Logistics (LOG)</v>
      </c>
      <c r="D260" s="179" t="str">
        <f aca="false">IF(TRIM(Tracker!J250)="",Tracker!I250,Tracker!J250)</f>
        <v>Vijay</v>
      </c>
      <c r="E260" s="180" t="n">
        <f aca="false">IF(ISNUMBER(Tracker!K250),Tracker!K250,IF(ISNUMBER(Tracker!L250),Tracker!L250,0))</f>
        <v>46241</v>
      </c>
      <c r="F260" s="180" t="n">
        <f aca="false">IF(ISNUMBER(Tracker!L250),Tracker!L250,IF(ISNUMBER(Tracker!K250),Tracker!K250,0))</f>
        <v>46241</v>
      </c>
      <c r="DU260" s="0" t="str">
        <f aca="false">Tracker!M250</f>
        <v>Not started</v>
      </c>
    </row>
    <row r="261" customFormat="false" ht="15" hidden="false" customHeight="false" outlineLevel="1" collapsed="false">
      <c r="A261" s="179" t="str">
        <f aca="false">Tracker!F251</f>
        <v>CM.LOG.01.8</v>
      </c>
      <c r="B261" s="179" t="str">
        <f aca="false">Tracker!G251</f>
        <v>Dissolution Strategy</v>
      </c>
      <c r="C261" s="179" t="str">
        <f aca="false">TRIM(Tracker!D251)</f>
        <v>Logistics (LOG)</v>
      </c>
      <c r="D261" s="179" t="str">
        <f aca="false">IF(TRIM(Tracker!J251)="",Tracker!I251,Tracker!J251)</f>
        <v>Vijay</v>
      </c>
      <c r="E261" s="180" t="n">
        <f aca="false">IF(ISNUMBER(Tracker!K251),Tracker!K251,IF(ISNUMBER(Tracker!L251),Tracker!L251,0))</f>
        <v>46241</v>
      </c>
      <c r="F261" s="180" t="n">
        <f aca="false">IF(ISNUMBER(Tracker!L251),Tracker!L251,IF(ISNUMBER(Tracker!K251),Tracker!K251,0))</f>
        <v>46241</v>
      </c>
      <c r="DU261" s="0" t="str">
        <f aca="false">Tracker!M251</f>
        <v>Not started</v>
      </c>
    </row>
    <row r="262" customFormat="false" ht="15" hidden="false" customHeight="false" outlineLevel="1" collapsed="false">
      <c r="A262" s="179" t="str">
        <f aca="false">Tracker!F252</f>
        <v>CM.LOG.02</v>
      </c>
      <c r="B262" s="179" t="str">
        <f aca="false">Tracker!G252</f>
        <v>Logistics Operator &amp; Supply Chain Planning</v>
      </c>
      <c r="C262" s="179" t="str">
        <f aca="false">TRIM(Tracker!D252)</f>
        <v>Logistics (LOG)</v>
      </c>
      <c r="D262" s="179" t="str">
        <f aca="false">IF(TRIM(Tracker!J252)="",Tracker!I252,Tracker!J252)</f>
        <v>Vijay</v>
      </c>
      <c r="E262" s="180" t="n">
        <f aca="false">IF(ISNUMBER(Tracker!K252),Tracker!K252,IF(ISNUMBER(Tracker!L252),Tracker!L252,0))</f>
        <v>0</v>
      </c>
      <c r="F262" s="180" t="n">
        <f aca="false">IF(ISNUMBER(Tracker!L252),Tracker!L252,IF(ISNUMBER(Tracker!K252),Tracker!K252,0))</f>
        <v>0</v>
      </c>
      <c r="DU262" s="0" t="str">
        <f aca="false">Tracker!M252</f>
        <v>No Update Received</v>
      </c>
    </row>
    <row r="263" customFormat="false" ht="15" hidden="false" customHeight="false" outlineLevel="1" collapsed="false">
      <c r="A263" s="179" t="str">
        <f aca="false">Tracker!F253</f>
        <v>CM.LOG.03</v>
      </c>
      <c r="B263" s="179" t="str">
        <f aca="false">Tracker!G253</f>
        <v>Customs &amp; Freight Management Processes</v>
      </c>
      <c r="C263" s="179" t="str">
        <f aca="false">TRIM(Tracker!D253)</f>
        <v>Logistics (LOG)</v>
      </c>
      <c r="D263" s="179" t="str">
        <f aca="false">IF(TRIM(Tracker!J253)="",Tracker!I253,Tracker!J253)</f>
        <v>Vijay</v>
      </c>
      <c r="E263" s="180" t="n">
        <f aca="false">IF(ISNUMBER(Tracker!K253),Tracker!K253,IF(ISNUMBER(Tracker!L253),Tracker!L253,0))</f>
        <v>0</v>
      </c>
      <c r="F263" s="180" t="n">
        <f aca="false">IF(ISNUMBER(Tracker!L253),Tracker!L253,IF(ISNUMBER(Tracker!K253),Tracker!K253,0))</f>
        <v>0</v>
      </c>
      <c r="DU263" s="0" t="str">
        <f aca="false">Tracker!M253</f>
        <v>No Update Received</v>
      </c>
    </row>
    <row r="264" customFormat="false" ht="15" hidden="false" customHeight="false" outlineLevel="1" collapsed="false">
      <c r="A264" s="179" t="str">
        <f aca="false">Tracker!F254</f>
        <v>CM.LOG.04</v>
      </c>
      <c r="B264" s="179" t="str">
        <f aca="false">Tracker!G254</f>
        <v>Delivery Management System Frameworks</v>
      </c>
      <c r="C264" s="179" t="str">
        <f aca="false">TRIM(Tracker!D254)</f>
        <v>Logistics (LOG)</v>
      </c>
      <c r="D264" s="179" t="str">
        <f aca="false">IF(TRIM(Tracker!J254)="",Tracker!I254,Tracker!J254)</f>
        <v>Vijay</v>
      </c>
      <c r="E264" s="180" t="n">
        <f aca="false">IF(ISNUMBER(Tracker!K254),Tracker!K254,IF(ISNUMBER(Tracker!L254),Tracker!L254,0))</f>
        <v>0</v>
      </c>
      <c r="F264" s="180" t="n">
        <f aca="false">IF(ISNUMBER(Tracker!L254),Tracker!L254,IF(ISNUMBER(Tracker!K254),Tracker!K254,0))</f>
        <v>0</v>
      </c>
      <c r="DU264" s="0" t="str">
        <f aca="false">Tracker!M254</f>
        <v>No Update Received</v>
      </c>
    </row>
    <row r="265" customFormat="false" ht="15" hidden="false" customHeight="false" outlineLevel="1" collapsed="false">
      <c r="A265" s="179" t="str">
        <f aca="false">Tracker!F255</f>
        <v>CM.LOG.05</v>
      </c>
      <c r="B265" s="179" t="str">
        <f aca="false">Tracker!G255</f>
        <v>Logistics Zone &amp; Warehouse Readiness</v>
      </c>
      <c r="C265" s="179" t="str">
        <f aca="false">TRIM(Tracker!D255)</f>
        <v>Logistics (LOG)</v>
      </c>
      <c r="D265" s="179" t="str">
        <f aca="false">IF(TRIM(Tracker!J255)="",Tracker!I255,Tracker!J255)</f>
        <v>Vijay</v>
      </c>
      <c r="E265" s="180" t="n">
        <f aca="false">IF(ISNUMBER(Tracker!K255),Tracker!K255,IF(ISNUMBER(Tracker!L255),Tracker!L255,0))</f>
        <v>0</v>
      </c>
      <c r="F265" s="180" t="n">
        <f aca="false">IF(ISNUMBER(Tracker!L255),Tracker!L255,IF(ISNUMBER(Tracker!K255),Tracker!K255,0))</f>
        <v>0</v>
      </c>
      <c r="DU265" s="0" t="str">
        <f aca="false">Tracker!M255</f>
        <v>No Update Received</v>
      </c>
    </row>
    <row r="266" customFormat="false" ht="15" hidden="false" customHeight="false" outlineLevel="1" collapsed="false">
      <c r="A266" s="179" t="str">
        <f aca="false">Tracker!F256</f>
        <v>CM.LOG.06</v>
      </c>
      <c r="B266" s="179" t="str">
        <f aca="false">Tracker!G256</f>
        <v>Vendor Supply Access Operating Model Review</v>
      </c>
      <c r="C266" s="179" t="str">
        <f aca="false">TRIM(Tracker!D256)</f>
        <v>Logistics (LOG)</v>
      </c>
      <c r="D266" s="179" t="str">
        <f aca="false">IF(TRIM(Tracker!J256)="",Tracker!I256,Tracker!J256)</f>
        <v>Vijay</v>
      </c>
      <c r="E266" s="180" t="n">
        <f aca="false">IF(ISNUMBER(Tracker!K256),Tracker!K256,IF(ISNUMBER(Tracker!L256),Tracker!L256,0))</f>
        <v>0</v>
      </c>
      <c r="F266" s="180" t="n">
        <f aca="false">IF(ISNUMBER(Tracker!L256),Tracker!L256,IF(ISNUMBER(Tracker!K256),Tracker!K256,0))</f>
        <v>0</v>
      </c>
      <c r="DU266" s="0" t="str">
        <f aca="false">Tracker!M256</f>
        <v>No Update Received</v>
      </c>
    </row>
    <row r="267" customFormat="false" ht="15" hidden="false" customHeight="false" outlineLevel="1" collapsed="false">
      <c r="A267" s="179" t="str">
        <f aca="false">Tracker!F257</f>
        <v>CM.LOG.07</v>
      </c>
      <c r="B267" s="179" t="str">
        <f aca="false">Tracker!G257</f>
        <v>Support Logistics Systems Implementation &amp; Integration</v>
      </c>
      <c r="C267" s="179" t="str">
        <f aca="false">TRIM(Tracker!D257)</f>
        <v>Logistics (LOG)</v>
      </c>
      <c r="D267" s="179" t="str">
        <f aca="false">IF(TRIM(Tracker!J257)="",Tracker!I257,Tracker!J257)</f>
        <v>Vijay</v>
      </c>
      <c r="E267" s="180" t="n">
        <f aca="false">IF(ISNUMBER(Tracker!K257),Tracker!K257,IF(ISNUMBER(Tracker!L257),Tracker!L257,0))</f>
        <v>0</v>
      </c>
      <c r="F267" s="180" t="n">
        <f aca="false">IF(ISNUMBER(Tracker!L257),Tracker!L257,IF(ISNUMBER(Tracker!K257),Tracker!K257,0))</f>
        <v>0</v>
      </c>
      <c r="DU267" s="0" t="str">
        <f aca="false">Tracker!M257</f>
        <v>No Update Received</v>
      </c>
    </row>
    <row r="268" customFormat="false" ht="15" hidden="false" customHeight="false" outlineLevel="1" collapsed="false">
      <c r="A268" s="179" t="str">
        <f aca="false">Tracker!F258</f>
        <v>CM.LOG.08</v>
      </c>
      <c r="B268" s="179" t="str">
        <f aca="false">Tracker!G258</f>
        <v>Last Mile Delivery Operations</v>
      </c>
      <c r="C268" s="179" t="str">
        <f aca="false">TRIM(Tracker!D258)</f>
        <v>Logistics (LOG)</v>
      </c>
      <c r="D268" s="179" t="str">
        <f aca="false">IF(TRIM(Tracker!J258)="",Tracker!I258,Tracker!J258)</f>
        <v>Vijay</v>
      </c>
      <c r="E268" s="180" t="n">
        <f aca="false">IF(ISNUMBER(Tracker!K258),Tracker!K258,IF(ISNUMBER(Tracker!L258),Tracker!L258,0))</f>
        <v>0</v>
      </c>
      <c r="F268" s="180" t="n">
        <f aca="false">IF(ISNUMBER(Tracker!L258),Tracker!L258,IF(ISNUMBER(Tracker!K258),Tracker!K258,0))</f>
        <v>0</v>
      </c>
      <c r="DU268" s="0" t="str">
        <f aca="false">Tracker!M258</f>
        <v>No Update Received</v>
      </c>
    </row>
    <row r="269" customFormat="false" ht="15" hidden="false" customHeight="false" outlineLevel="1" collapsed="false">
      <c r="A269" s="179" t="str">
        <f aca="false">Tracker!F259</f>
        <v>CM.LOG.09</v>
      </c>
      <c r="B269" s="179" t="str">
        <f aca="false">Tracker!G259</f>
        <v>Conduct Logistics Readiness Reviews</v>
      </c>
      <c r="C269" s="179" t="str">
        <f aca="false">TRIM(Tracker!D259)</f>
        <v>Logistics (LOG)</v>
      </c>
      <c r="D269" s="179" t="str">
        <f aca="false">IF(TRIM(Tracker!J259)="",Tracker!I259,Tracker!J259)</f>
        <v>Vijay</v>
      </c>
      <c r="E269" s="180" t="n">
        <f aca="false">IF(ISNUMBER(Tracker!K259),Tracker!K259,IF(ISNUMBER(Tracker!L259),Tracker!L259,0))</f>
        <v>0</v>
      </c>
      <c r="F269" s="180" t="n">
        <f aca="false">IF(ISNUMBER(Tracker!L259),Tracker!L259,IF(ISNUMBER(Tracker!K259),Tracker!K259,0))</f>
        <v>0</v>
      </c>
      <c r="DU269" s="0" t="str">
        <f aca="false">Tracker!M259</f>
        <v>No Update Received</v>
      </c>
    </row>
    <row r="270" customFormat="false" ht="15" hidden="false" customHeight="false" outlineLevel="1" collapsed="false">
      <c r="A270" s="179" t="str">
        <f aca="false">Tracker!F260</f>
        <v>CM.LOG.10</v>
      </c>
      <c r="B270" s="179" t="str">
        <f aca="false">Tracker!G260</f>
        <v>FFE/Commodities</v>
      </c>
      <c r="C270" s="179" t="str">
        <f aca="false">TRIM(Tracker!D260)</f>
        <v>Logistics (LOG)</v>
      </c>
      <c r="D270" s="179" t="str">
        <f aca="false">IF(TRIM(Tracker!J260)="",Tracker!I260,Tracker!J260)</f>
        <v>Vijay</v>
      </c>
      <c r="E270" s="180" t="n">
        <f aca="false">IF(ISNUMBER(Tracker!K260),Tracker!K260,IF(ISNUMBER(Tracker!L260),Tracker!L260,0))</f>
        <v>0</v>
      </c>
      <c r="F270" s="180" t="n">
        <f aca="false">IF(ISNUMBER(Tracker!L260),Tracker!L260,IF(ISNUMBER(Tracker!K260),Tracker!K260,0))</f>
        <v>0</v>
      </c>
      <c r="DU270" s="0" t="str">
        <f aca="false">Tracker!M260</f>
        <v>No Update Received</v>
      </c>
    </row>
    <row r="271" customFormat="false" ht="15" hidden="false" customHeight="false" outlineLevel="1" collapsed="false">
      <c r="A271" s="179" t="str">
        <f aca="false">Tracker!F261</f>
        <v>CM.LOG.10.1</v>
      </c>
      <c r="B271" s="179" t="str">
        <f aca="false">Tracker!G261</f>
        <v>Stationery and Consumables Scope and Procurement Process</v>
      </c>
      <c r="C271" s="179" t="str">
        <f aca="false">TRIM(Tracker!D261)</f>
        <v>Logistics (LOG)</v>
      </c>
      <c r="D271" s="179" t="str">
        <f aca="false">IF(TRIM(Tracker!J261)="",Tracker!I261,Tracker!J261)</f>
        <v>Vijay</v>
      </c>
      <c r="E271" s="180" t="n">
        <f aca="false">IF(ISNUMBER(Tracker!K261),Tracker!K261,IF(ISNUMBER(Tracker!L261),Tracker!L261,0))</f>
        <v>46241</v>
      </c>
      <c r="F271" s="180" t="n">
        <f aca="false">IF(ISNUMBER(Tracker!L261),Tracker!L261,IF(ISNUMBER(Tracker!K261),Tracker!K261,0))</f>
        <v>46241</v>
      </c>
      <c r="DU271" s="0" t="str">
        <f aca="false">Tracker!M261</f>
        <v>On Track</v>
      </c>
    </row>
    <row r="272" customFormat="false" ht="15" hidden="false" customHeight="false" outlineLevel="1" collapsed="false">
      <c r="A272" s="179" t="str">
        <f aca="false">Tracker!F262</f>
        <v>CM.LOG.10.2</v>
      </c>
      <c r="B272" s="179" t="str">
        <f aca="false">Tracker!G262</f>
        <v>Contingency FF&amp;E Strategy</v>
      </c>
      <c r="C272" s="179" t="str">
        <f aca="false">TRIM(Tracker!D262)</f>
        <v>Logistics (LOG)</v>
      </c>
      <c r="D272" s="179" t="str">
        <f aca="false">IF(TRIM(Tracker!J262)="",Tracker!I262,Tracker!J262)</f>
        <v>Vijay</v>
      </c>
      <c r="E272" s="180" t="n">
        <f aca="false">IF(ISNUMBER(Tracker!K262),Tracker!K262,IF(ISNUMBER(Tracker!L262),Tracker!L262,0))</f>
        <v>46241</v>
      </c>
      <c r="F272" s="180" t="n">
        <f aca="false">IF(ISNUMBER(Tracker!L262),Tracker!L262,IF(ISNUMBER(Tracker!K262),Tracker!K262,0))</f>
        <v>46241</v>
      </c>
      <c r="DU272" s="0" t="str">
        <f aca="false">Tracker!M262</f>
        <v>Not Started</v>
      </c>
    </row>
    <row r="273" customFormat="false" ht="15.75" hidden="false" customHeight="true" outlineLevel="0" collapsed="false">
      <c r="A273" s="175"/>
      <c r="B273" s="176" t="s">
        <v>52</v>
      </c>
      <c r="C273" s="176" t="s">
        <v>52</v>
      </c>
      <c r="D273" s="175"/>
      <c r="E273" s="177" t="n">
        <f aca="false">IFERROR(_xlfn.MINIFS(E274:E277,E274:E277,"&gt;0"),0)</f>
        <v>46371</v>
      </c>
      <c r="F273" s="177" t="n">
        <f aca="false">IFERROR(_xlfn.MAXIFS(F274:F277,F274:F277,"&gt;0"),0)</f>
        <v>46508</v>
      </c>
      <c r="DU273" s="178" t="s">
        <v>1357</v>
      </c>
    </row>
    <row r="274" customFormat="false" ht="15" hidden="false" customHeight="false" outlineLevel="1" collapsed="false">
      <c r="A274" s="179" t="str">
        <f aca="false">Tracker!F263</f>
        <v>KM.1</v>
      </c>
      <c r="B274" s="179" t="str">
        <f aca="false">Tracker!G263</f>
        <v>CONOPS Approved</v>
      </c>
      <c r="C274" s="179" t="str">
        <f aca="false">TRIM(Tracker!D263)</f>
        <v>Operations</v>
      </c>
      <c r="D274" s="179" t="str">
        <f aca="false">IF(TRIM(Tracker!J263)="",Tracker!I263,Tracker!J263)</f>
        <v>Department Led</v>
      </c>
      <c r="E274" s="180" t="n">
        <f aca="false">IF(ISNUMBER(Tracker!K263),Tracker!K263,IF(ISNUMBER(Tracker!L263),Tracker!L263,0))</f>
        <v>46402</v>
      </c>
      <c r="F274" s="180" t="n">
        <f aca="false">IF(ISNUMBER(Tracker!L263),Tracker!L263,IF(ISNUMBER(Tracker!K263),Tracker!K263,0))</f>
        <v>46402</v>
      </c>
      <c r="DU274" s="0" t="str">
        <f aca="false">Tracker!M263</f>
        <v>No Update Received</v>
      </c>
    </row>
    <row r="275" customFormat="false" ht="15" hidden="false" customHeight="false" outlineLevel="1" collapsed="false">
      <c r="A275" s="179" t="str">
        <f aca="false">Tracker!F264</f>
        <v>KM.8</v>
      </c>
      <c r="B275" s="179" t="str">
        <f aca="false">Tracker!G264</f>
        <v>Extended Operations Commence</v>
      </c>
      <c r="C275" s="179" t="str">
        <f aca="false">TRIM(Tracker!D264)</f>
        <v>Operations</v>
      </c>
      <c r="D275" s="179" t="str">
        <f aca="false">IF(TRIM(Tracker!J264)="",Tracker!I264,Tracker!J264)</f>
        <v>Department Led</v>
      </c>
      <c r="E275" s="180" t="n">
        <f aca="false">IF(ISNUMBER(Tracker!K264),Tracker!K264,IF(ISNUMBER(Tracker!L264),Tracker!L264,0))</f>
        <v>46492</v>
      </c>
      <c r="F275" s="180" t="n">
        <f aca="false">IF(ISNUMBER(Tracker!L264),Tracker!L264,IF(ISNUMBER(Tracker!K264),Tracker!K264,0))</f>
        <v>46492</v>
      </c>
      <c r="DU275" s="0" t="str">
        <f aca="false">Tracker!M264</f>
        <v>Not Started</v>
      </c>
    </row>
    <row r="276" customFormat="false" ht="15" hidden="false" customHeight="false" outlineLevel="1" collapsed="false">
      <c r="A276" s="179" t="str">
        <f aca="false">Tracker!F265</f>
        <v>KM.9</v>
      </c>
      <c r="B276" s="179" t="str">
        <f aca="false">Tracker!G265</f>
        <v>Full Operations Commence</v>
      </c>
      <c r="C276" s="179" t="str">
        <f aca="false">TRIM(Tracker!D265)</f>
        <v>Operations</v>
      </c>
      <c r="D276" s="179" t="str">
        <f aca="false">IF(TRIM(Tracker!J265)="",Tracker!I265,Tracker!J265)</f>
        <v>Department Led</v>
      </c>
      <c r="E276" s="180" t="n">
        <f aca="false">IF(ISNUMBER(Tracker!K265),Tracker!K265,IF(ISNUMBER(Tracker!L265),Tracker!L265,0))</f>
        <v>46508</v>
      </c>
      <c r="F276" s="180" t="n">
        <f aca="false">IF(ISNUMBER(Tracker!L265),Tracker!L265,IF(ISNUMBER(Tracker!K265),Tracker!K265,0))</f>
        <v>46508</v>
      </c>
      <c r="DU276" s="0" t="str">
        <f aca="false">Tracker!M265</f>
        <v>Not Started</v>
      </c>
    </row>
    <row r="277" customFormat="false" ht="15" hidden="false" customHeight="false" outlineLevel="1" collapsed="false">
      <c r="A277" s="179" t="str">
        <f aca="false">Tracker!F266</f>
        <v>KM.18</v>
      </c>
      <c r="B277" s="179" t="str">
        <f aca="false">Tracker!G266</f>
        <v>Final Site Operating Plan Published</v>
      </c>
      <c r="C277" s="179" t="str">
        <f aca="false">TRIM(Tracker!D266)</f>
        <v>Operations</v>
      </c>
      <c r="D277" s="179" t="str">
        <f aca="false">IF(TRIM(Tracker!J266)="",Tracker!I266,Tracker!J266)</f>
        <v>Department Led</v>
      </c>
      <c r="E277" s="180" t="n">
        <f aca="false">IF(ISNUMBER(Tracker!K266),Tracker!K266,IF(ISNUMBER(Tracker!L266),Tracker!L266,0))</f>
        <v>46371</v>
      </c>
      <c r="F277" s="180" t="n">
        <f aca="false">IF(ISNUMBER(Tracker!L266),Tracker!L266,IF(ISNUMBER(Tracker!K266),Tracker!K266,0))</f>
        <v>46371</v>
      </c>
      <c r="DU277" s="0" t="str">
        <f aca="false">Tracker!M266</f>
        <v>On Track</v>
      </c>
    </row>
    <row r="278" customFormat="false" ht="15.75" hidden="false" customHeight="true" outlineLevel="0" collapsed="false">
      <c r="A278" s="175"/>
      <c r="B278" s="176" t="s">
        <v>876</v>
      </c>
      <c r="C278" s="176" t="s">
        <v>876</v>
      </c>
      <c r="D278" s="175"/>
      <c r="E278" s="177" t="n">
        <f aca="false">IFERROR(_xlfn.MINIFS(E279:E280,E279:E280,"&gt;0"),0)</f>
        <v>46418</v>
      </c>
      <c r="F278" s="177" t="n">
        <f aca="false">IFERROR(_xlfn.MAXIFS(F279:F280,F279:F280,"&gt;0"),0)</f>
        <v>46691</v>
      </c>
      <c r="DU278" s="178" t="s">
        <v>1357</v>
      </c>
    </row>
    <row r="279" customFormat="false" ht="15" hidden="false" customHeight="false" outlineLevel="1" collapsed="false">
      <c r="A279" s="179" t="str">
        <f aca="false">Tracker!F267</f>
        <v>KM.11</v>
      </c>
      <c r="B279" s="179" t="str">
        <f aca="false">Tracker!G267</f>
        <v>Closing Ceremony Full Dress Rehearsal Complete</v>
      </c>
      <c r="C279" s="179" t="str">
        <f aca="false">TRIM(Tracker!D267)</f>
        <v>Program &amp; Content</v>
      </c>
      <c r="D279" s="179" t="str">
        <f aca="false">IF(TRIM(Tracker!J267)="",Tracker!I267,Tracker!J267)</f>
        <v>Department Led</v>
      </c>
      <c r="E279" s="180" t="n">
        <f aca="false">IF(ISNUMBER(Tracker!K267),Tracker!K267,IF(ISNUMBER(Tracker!L267),Tracker!L267,0))</f>
        <v>46418</v>
      </c>
      <c r="F279" s="180" t="n">
        <f aca="false">IF(ISNUMBER(Tracker!L267),Tracker!L267,IF(ISNUMBER(Tracker!K267),Tracker!K267,0))</f>
        <v>46418</v>
      </c>
      <c r="DU279" s="0" t="str">
        <f aca="false">Tracker!M267</f>
        <v>On Track</v>
      </c>
    </row>
    <row r="280" customFormat="false" ht="15" hidden="false" customHeight="false" outlineLevel="1" collapsed="false">
      <c r="A280" s="179" t="str">
        <f aca="false">Tracker!F268</f>
        <v>KM.11</v>
      </c>
      <c r="B280" s="179" t="str">
        <f aca="false">Tracker!G268</f>
        <v>Closing Ceremony Full Dress Rehearsal Complete</v>
      </c>
      <c r="C280" s="179" t="str">
        <f aca="false">TRIM(Tracker!D268)</f>
        <v>Program &amp; Content</v>
      </c>
      <c r="D280" s="179" t="str">
        <f aca="false">IF(TRIM(Tracker!J268)="",Tracker!I268,Tracker!J268)</f>
        <v>Department Led</v>
      </c>
      <c r="E280" s="180" t="n">
        <f aca="false">IF(ISNUMBER(Tracker!K268),Tracker!K268,IF(ISNUMBER(Tracker!L268),Tracker!L268,0))</f>
        <v>46691</v>
      </c>
      <c r="F280" s="180" t="n">
        <f aca="false">IF(ISNUMBER(Tracker!L268),Tracker!L268,IF(ISNUMBER(Tracker!K268),Tracker!K268,0))</f>
        <v>46691</v>
      </c>
      <c r="DU280" s="0" t="str">
        <f aca="false">Tracker!M268</f>
        <v>Not Started</v>
      </c>
    </row>
    <row r="281" customFormat="false" ht="15.75" hidden="false" customHeight="true" outlineLevel="0" collapsed="false">
      <c r="A281" s="175"/>
      <c r="B281" s="176" t="s">
        <v>879</v>
      </c>
      <c r="C281" s="176" t="s">
        <v>879</v>
      </c>
      <c r="D281" s="175"/>
      <c r="E281" s="177" t="n">
        <f aca="false">IFERROR(_xlfn.MINIFS(E282:E330,E282:E330,"&gt;0"),0)</f>
        <v>46204</v>
      </c>
      <c r="F281" s="177" t="n">
        <f aca="false">IFERROR(_xlfn.MAXIFS(F282:F330,F282:F330,"&gt;0"),0)</f>
        <v>46752</v>
      </c>
      <c r="DU281" s="178" t="s">
        <v>1357</v>
      </c>
    </row>
    <row r="282" customFormat="false" ht="15" hidden="false" customHeight="false" outlineLevel="1" collapsed="false">
      <c r="A282" s="179" t="str">
        <f aca="false">Tracker!F269</f>
        <v>KM.10</v>
      </c>
      <c r="B282" s="179" t="str">
        <f aca="false">Tracker!G269</f>
        <v>Security Sweep Complete</v>
      </c>
      <c r="C282" s="179" t="str">
        <f aca="false">TRIM(Tracker!D269)</f>
        <v>Security and Crowd Management (SEC &amp; CMT)</v>
      </c>
      <c r="D282" s="179" t="str">
        <f aca="false">IF(TRIM(Tracker!J269)="",Tracker!I269,Tracker!J269)</f>
        <v>Matt and Steve</v>
      </c>
      <c r="E282" s="180" t="n">
        <f aca="false">IF(ISNUMBER(Tracker!K269),Tracker!K269,IF(ISNUMBER(Tracker!L269),Tracker!L269,0))</f>
        <v>46487</v>
      </c>
      <c r="F282" s="180" t="n">
        <f aca="false">IF(ISNUMBER(Tracker!L269),Tracker!L269,IF(ISNUMBER(Tracker!K269),Tracker!K269,0))</f>
        <v>46487</v>
      </c>
      <c r="DU282" s="0" t="str">
        <f aca="false">Tracker!M269</f>
        <v>Not Started</v>
      </c>
    </row>
    <row r="283" customFormat="false" ht="15" hidden="false" customHeight="false" outlineLevel="1" collapsed="false">
      <c r="A283" s="179" t="str">
        <f aca="false">Tracker!F270</f>
        <v>KM.111</v>
      </c>
      <c r="B283" s="179" t="str">
        <f aca="false">Tracker!G270</f>
        <v>Mandatory Security Staff Training Complete</v>
      </c>
      <c r="C283" s="179" t="str">
        <f aca="false">TRIM(Tracker!D270)</f>
        <v>Security and Crowd Management (SEC &amp; CMT)</v>
      </c>
      <c r="D283" s="179" t="str">
        <f aca="false">IF(TRIM(Tracker!J270)="",Tracker!I270,Tracker!J270)</f>
        <v>Matt and Steve</v>
      </c>
      <c r="E283" s="180" t="n">
        <f aca="false">IF(ISNUMBER(Tracker!K270),Tracker!K270,IF(ISNUMBER(Tracker!L270),Tracker!L270,0))</f>
        <v>46419</v>
      </c>
      <c r="F283" s="180" t="n">
        <f aca="false">IF(ISNUMBER(Tracker!L270),Tracker!L270,IF(ISNUMBER(Tracker!K270),Tracker!K270,0))</f>
        <v>46419</v>
      </c>
      <c r="DU283" s="0" t="str">
        <f aca="false">Tracker!M270</f>
        <v>On Track</v>
      </c>
    </row>
    <row r="284" customFormat="false" ht="15" hidden="false" customHeight="false" outlineLevel="1" collapsed="false">
      <c r="A284" s="179" t="str">
        <f aca="false">Tracker!F271</f>
        <v>KM.117</v>
      </c>
      <c r="B284" s="179" t="str">
        <f aca="false">Tracker!G271</f>
        <v>Technical Security Systems Integrated</v>
      </c>
      <c r="C284" s="179" t="str">
        <f aca="false">TRIM(Tracker!D271)</f>
        <v>Security and Crowd Management (SEC &amp; CMT)</v>
      </c>
      <c r="D284" s="179" t="str">
        <f aca="false">IF(TRIM(Tracker!J271)="",Tracker!I271,Tracker!J271)</f>
        <v>Matt and Steve</v>
      </c>
      <c r="E284" s="180" t="n">
        <f aca="false">IF(ISNUMBER(Tracker!K271),Tracker!K271,IF(ISNUMBER(Tracker!L271),Tracker!L271,0))</f>
        <v>46477</v>
      </c>
      <c r="F284" s="180" t="n">
        <f aca="false">IF(ISNUMBER(Tracker!L271),Tracker!L271,IF(ISNUMBER(Tracker!K271),Tracker!K271,0))</f>
        <v>46477</v>
      </c>
      <c r="DU284" s="0" t="str">
        <f aca="false">Tracker!M271</f>
        <v>On Track</v>
      </c>
    </row>
    <row r="285" customFormat="false" ht="15" hidden="false" customHeight="false" outlineLevel="1" collapsed="false">
      <c r="A285" s="179" t="str">
        <f aca="false">Tracker!F272</f>
        <v>KM.132</v>
      </c>
      <c r="B285" s="179" t="str">
        <f aca="false">Tracker!G272</f>
        <v>Site Lock Down</v>
      </c>
      <c r="C285" s="179" t="str">
        <f aca="false">TRIM(Tracker!D272)</f>
        <v>Security and Crowd Management (SEC &amp; CMT)</v>
      </c>
      <c r="D285" s="179" t="str">
        <f aca="false">IF(TRIM(Tracker!J272)="",Tracker!I272,Tracker!J272)</f>
        <v>Matt and Steve</v>
      </c>
      <c r="E285" s="180" t="n">
        <f aca="false">IF(ISNUMBER(Tracker!K272),Tracker!K272,IF(ISNUMBER(Tracker!L272),Tracker!L272,0))</f>
        <v>46517</v>
      </c>
      <c r="F285" s="180" t="n">
        <f aca="false">IF(ISNUMBER(Tracker!L272),Tracker!L272,IF(ISNUMBER(Tracker!K272),Tracker!K272,0))</f>
        <v>46517</v>
      </c>
      <c r="DU285" s="0" t="str">
        <f aca="false">Tracker!M272</f>
        <v>On Track</v>
      </c>
    </row>
    <row r="286" customFormat="false" ht="15" hidden="false" customHeight="false" outlineLevel="1" collapsed="false">
      <c r="A286" s="179" t="str">
        <f aca="false">Tracker!F273</f>
        <v>KM.134</v>
      </c>
      <c r="B286" s="179" t="str">
        <f aca="false">Tracker!G273</f>
        <v>Security Operations Commence On-Site</v>
      </c>
      <c r="C286" s="179" t="str">
        <f aca="false">TRIM(Tracker!D273)</f>
        <v>Security and Crowd Management (SEC &amp; CMT)</v>
      </c>
      <c r="D286" s="179" t="str">
        <f aca="false">IF(TRIM(Tracker!J273)="",Tracker!I273,Tracker!J273)</f>
        <v>Matt and Steve</v>
      </c>
      <c r="E286" s="180" t="n">
        <f aca="false">IF(ISNUMBER(Tracker!K273),Tracker!K273,IF(ISNUMBER(Tracker!L273),Tracker!L273,0))</f>
        <v>46522</v>
      </c>
      <c r="F286" s="180" t="n">
        <f aca="false">IF(ISNUMBER(Tracker!L273),Tracker!L273,IF(ISNUMBER(Tracker!K273),Tracker!K273,0))</f>
        <v>46522</v>
      </c>
      <c r="DU286" s="0" t="str">
        <f aca="false">Tracker!M273</f>
        <v>On Track</v>
      </c>
    </row>
    <row r="287" customFormat="false" ht="15" hidden="false" customHeight="false" outlineLevel="1" collapsed="false">
      <c r="A287" s="179" t="str">
        <f aca="false">Tracker!F274</f>
        <v>KM.135</v>
      </c>
      <c r="B287" s="179" t="str">
        <f aca="false">Tracker!G274</f>
        <v>Security Bump Out</v>
      </c>
      <c r="C287" s="179" t="str">
        <f aca="false">TRIM(Tracker!D274)</f>
        <v>Security and Crowd Management (SEC &amp; CMT)</v>
      </c>
      <c r="D287" s="179" t="str">
        <f aca="false">IF(TRIM(Tracker!J274)="",Tracker!I274,Tracker!J274)</f>
        <v>Matt and Steve</v>
      </c>
      <c r="E287" s="180" t="n">
        <f aca="false">IF(ISNUMBER(Tracker!K274),Tracker!K274,IF(ISNUMBER(Tracker!L274),Tracker!L274,0))</f>
        <v>46752</v>
      </c>
      <c r="F287" s="180" t="n">
        <f aca="false">IF(ISNUMBER(Tracker!L274),Tracker!L274,IF(ISNUMBER(Tracker!K274),Tracker!K274,0))</f>
        <v>46752</v>
      </c>
      <c r="DU287" s="0" t="str">
        <f aca="false">Tracker!M274</f>
        <v>On Track</v>
      </c>
    </row>
    <row r="288" customFormat="false" ht="15" hidden="false" customHeight="false" outlineLevel="1" collapsed="false">
      <c r="A288" s="179" t="str">
        <f aca="false">Tracker!F275</f>
        <v>KM.142</v>
      </c>
      <c r="B288" s="179" t="str">
        <f aca="false">Tracker!G275</f>
        <v>Security Concept &amp; Risk Framework Approved</v>
      </c>
      <c r="C288" s="179" t="str">
        <f aca="false">TRIM(Tracker!D275)</f>
        <v>Security and Crowd Management (SEC &amp; CMT)</v>
      </c>
      <c r="D288" s="179" t="str">
        <f aca="false">IF(TRIM(Tracker!J275)="",Tracker!I275,Tracker!J275)</f>
        <v>Matt and Steve</v>
      </c>
      <c r="E288" s="180" t="n">
        <f aca="false">IF(ISNUMBER(Tracker!K275),Tracker!K275,IF(ISNUMBER(Tracker!L275),Tracker!L275,0))</f>
        <v>46296</v>
      </c>
      <c r="F288" s="180" t="n">
        <f aca="false">IF(ISNUMBER(Tracker!L275),Tracker!L275,IF(ISNUMBER(Tracker!K275),Tracker!K275,0))</f>
        <v>46296</v>
      </c>
      <c r="DU288" s="0" t="str">
        <f aca="false">Tracker!M275</f>
        <v>On Track</v>
      </c>
    </row>
    <row r="289" customFormat="false" ht="15" hidden="false" customHeight="false" outlineLevel="1" collapsed="false">
      <c r="A289" s="179" t="str">
        <f aca="false">Tracker!F276</f>
        <v>KM.145</v>
      </c>
      <c r="B289" s="179" t="str">
        <f aca="false">Tracker!G276</f>
        <v>Allocation Of Security Roles Complete</v>
      </c>
      <c r="C289" s="179" t="str">
        <f aca="false">TRIM(Tracker!D276)</f>
        <v>Security and Crowd Management (SEC &amp; CMT)</v>
      </c>
      <c r="D289" s="179" t="str">
        <f aca="false">IF(TRIM(Tracker!J276)="",Tracker!I276,Tracker!J276)</f>
        <v>Matt and Steve</v>
      </c>
      <c r="E289" s="180" t="n">
        <f aca="false">IF(ISNUMBER(Tracker!K276),Tracker!K276,IF(ISNUMBER(Tracker!L276),Tracker!L276,0))</f>
        <v>46341</v>
      </c>
      <c r="F289" s="180" t="n">
        <f aca="false">IF(ISNUMBER(Tracker!L276),Tracker!L276,IF(ISNUMBER(Tracker!K276),Tracker!K276,0))</f>
        <v>46341</v>
      </c>
      <c r="DU289" s="0" t="str">
        <f aca="false">Tracker!M276</f>
        <v>On Track</v>
      </c>
    </row>
    <row r="290" customFormat="false" ht="15" hidden="false" customHeight="false" outlineLevel="1" collapsed="false">
      <c r="A290" s="179" t="str">
        <f aca="false">Tracker!F277</f>
        <v>KM.146</v>
      </c>
      <c r="B290" s="179" t="str">
        <f aca="false">Tracker!G277</f>
        <v>Site Security Takeover Complete</v>
      </c>
      <c r="C290" s="179" t="str">
        <f aca="false">TRIM(Tracker!D277)</f>
        <v>Security and Crowd Management (SEC &amp; CMT)</v>
      </c>
      <c r="D290" s="179" t="str">
        <f aca="false">IF(TRIM(Tracker!J277)="",Tracker!I277,Tracker!J277)</f>
        <v>Matt and Steve</v>
      </c>
      <c r="E290" s="180" t="n">
        <f aca="false">IF(ISNUMBER(Tracker!K277),Tracker!K277,IF(ISNUMBER(Tracker!L277),Tracker!L277,0))</f>
        <v>46341</v>
      </c>
      <c r="F290" s="180" t="n">
        <f aca="false">IF(ISNUMBER(Tracker!L277),Tracker!L277,IF(ISNUMBER(Tracker!K277),Tracker!K277,0))</f>
        <v>46341</v>
      </c>
      <c r="DU290" s="0" t="str">
        <f aca="false">Tracker!M277</f>
        <v>On Track</v>
      </c>
    </row>
    <row r="291" customFormat="false" ht="15" hidden="false" customHeight="false" outlineLevel="1" collapsed="false">
      <c r="A291" s="179" t="str">
        <f aca="false">Tracker!F278</f>
        <v>KM.147</v>
      </c>
      <c r="B291" s="179" t="str">
        <f aca="false">Tracker!G278</f>
        <v>MOC Security Operating Model Approved</v>
      </c>
      <c r="C291" s="179" t="str">
        <f aca="false">TRIM(Tracker!D278)</f>
        <v>Security and Crowd Management (SEC &amp; CMT)</v>
      </c>
      <c r="D291" s="179" t="str">
        <f aca="false">IF(TRIM(Tracker!J278)="",Tracker!I278,Tracker!J278)</f>
        <v>Matt and Steve</v>
      </c>
      <c r="E291" s="180" t="n">
        <f aca="false">IF(ISNUMBER(Tracker!K278),Tracker!K278,IF(ISNUMBER(Tracker!L278),Tracker!L278,0))</f>
        <v>46341</v>
      </c>
      <c r="F291" s="180" t="n">
        <f aca="false">IF(ISNUMBER(Tracker!L278),Tracker!L278,IF(ISNUMBER(Tracker!K278),Tracker!K278,0))</f>
        <v>46341</v>
      </c>
      <c r="DU291" s="0" t="str">
        <f aca="false">Tracker!M278</f>
        <v>On Track</v>
      </c>
    </row>
    <row r="292" customFormat="false" ht="15" hidden="false" customHeight="false" outlineLevel="1" collapsed="false">
      <c r="A292" s="179" t="str">
        <f aca="false">Tracker!F279</f>
        <v>KM.148</v>
      </c>
      <c r="B292" s="179" t="str">
        <f aca="false">Tracker!G279</f>
        <v>Security Plans Signed Off &amp; Published</v>
      </c>
      <c r="C292" s="179" t="str">
        <f aca="false">TRIM(Tracker!D279)</f>
        <v>Security and Crowd Management (SEC &amp; CMT)</v>
      </c>
      <c r="D292" s="179" t="str">
        <f aca="false">IF(TRIM(Tracker!J279)="",Tracker!I279,Tracker!J279)</f>
        <v>Matt and Steve</v>
      </c>
      <c r="E292" s="180" t="n">
        <f aca="false">IF(ISNUMBER(Tracker!K279),Tracker!K279,IF(ISNUMBER(Tracker!L279),Tracker!L279,0))</f>
        <v>46356</v>
      </c>
      <c r="F292" s="180" t="n">
        <f aca="false">IF(ISNUMBER(Tracker!L279),Tracker!L279,IF(ISNUMBER(Tracker!K279),Tracker!K279,0))</f>
        <v>46356</v>
      </c>
      <c r="DU292" s="0" t="str">
        <f aca="false">Tracker!M279</f>
        <v>On Track</v>
      </c>
    </row>
    <row r="293" customFormat="false" ht="15" hidden="false" customHeight="false" outlineLevel="1" collapsed="false">
      <c r="A293" s="179" t="str">
        <f aca="false">Tracker!F280</f>
        <v>NEW</v>
      </c>
      <c r="B293" s="179" t="str">
        <f aca="false">Tracker!G280</f>
        <v>VIP/VVIP Security &amp; Protection Plan Approved</v>
      </c>
      <c r="C293" s="179" t="str">
        <f aca="false">TRIM(Tracker!D280)</f>
        <v>Security and Crowd Management (SEC &amp; CMT)</v>
      </c>
      <c r="D293" s="179" t="str">
        <f aca="false">IF(TRIM(Tracker!J280)="",Tracker!I280,Tracker!J280)</f>
        <v>Matt and Steve</v>
      </c>
      <c r="E293" s="180" t="n">
        <f aca="false">IF(ISNUMBER(Tracker!K280),Tracker!K280,IF(ISNUMBER(Tracker!L280),Tracker!L280,0))</f>
        <v>46327</v>
      </c>
      <c r="F293" s="180" t="n">
        <f aca="false">IF(ISNUMBER(Tracker!L280),Tracker!L280,IF(ISNUMBER(Tracker!K280),Tracker!K280,0))</f>
        <v>46327</v>
      </c>
      <c r="DU293" s="0" t="str">
        <f aca="false">Tracker!M280</f>
        <v>Not Started</v>
      </c>
    </row>
    <row r="294" customFormat="false" ht="15" hidden="false" customHeight="false" outlineLevel="1" collapsed="false">
      <c r="A294" s="179" t="str">
        <f aca="false">Tracker!F281</f>
        <v>NEW</v>
      </c>
      <c r="B294" s="179" t="str">
        <f aca="false">Tracker!G281</f>
        <v>Crowd Management Plan (CMP) Approved</v>
      </c>
      <c r="C294" s="179" t="str">
        <f aca="false">TRIM(Tracker!D281)</f>
        <v>Security and Crowd Management (SEC &amp; CMT)</v>
      </c>
      <c r="D294" s="179" t="str">
        <f aca="false">IF(TRIM(Tracker!J281)="",Tracker!I281,Tracker!J281)</f>
        <v>Matt and Steve</v>
      </c>
      <c r="E294" s="180" t="n">
        <f aca="false">IF(ISNUMBER(Tracker!K281),Tracker!K281,IF(ISNUMBER(Tracker!L281),Tracker!L281,0))</f>
        <v>46296</v>
      </c>
      <c r="F294" s="180" t="n">
        <f aca="false">IF(ISNUMBER(Tracker!L281),Tracker!L281,IF(ISNUMBER(Tracker!K281),Tracker!K281,0))</f>
        <v>46296</v>
      </c>
      <c r="DU294" s="0" t="str">
        <f aca="false">Tracker!M281</f>
        <v>Not Started</v>
      </c>
    </row>
    <row r="295" customFormat="false" ht="15" hidden="false" customHeight="false" outlineLevel="1" collapsed="false">
      <c r="A295" s="179" t="str">
        <f aca="false">Tracker!F282</f>
        <v>NEW</v>
      </c>
      <c r="B295" s="179" t="str">
        <f aca="false">Tracker!G282</f>
        <v>Site Capacities &amp; Crowd Density Thresholds Confirmed</v>
      </c>
      <c r="C295" s="179" t="str">
        <f aca="false">TRIM(Tracker!D282)</f>
        <v>Security and Crowd Management (SEC &amp; CMT)</v>
      </c>
      <c r="D295" s="179" t="str">
        <f aca="false">IF(TRIM(Tracker!J282)="",Tracker!I282,Tracker!J282)</f>
        <v>Matt and Steve</v>
      </c>
      <c r="E295" s="180" t="n">
        <f aca="false">IF(ISNUMBER(Tracker!K282),Tracker!K282,IF(ISNUMBER(Tracker!L282),Tracker!L282,0))</f>
        <v>46280</v>
      </c>
      <c r="F295" s="180" t="n">
        <f aca="false">IF(ISNUMBER(Tracker!L282),Tracker!L282,IF(ISNUMBER(Tracker!K282),Tracker!K282,0))</f>
        <v>46280</v>
      </c>
      <c r="DU295" s="0" t="str">
        <f aca="false">Tracker!M282</f>
        <v>Not Started</v>
      </c>
    </row>
    <row r="296" customFormat="false" ht="15" hidden="false" customHeight="false" outlineLevel="1" collapsed="false">
      <c r="A296" s="179" t="str">
        <f aca="false">Tracker!F283</f>
        <v>NEW</v>
      </c>
      <c r="B296" s="179" t="str">
        <f aca="false">Tracker!G283</f>
        <v>Queue Management Strategy Agreed</v>
      </c>
      <c r="C296" s="179" t="str">
        <f aca="false">TRIM(Tracker!D283)</f>
        <v>Security and Crowd Management (SEC &amp; CMT)</v>
      </c>
      <c r="D296" s="179" t="str">
        <f aca="false">IF(TRIM(Tracker!J283)="",Tracker!I283,Tracker!J283)</f>
        <v>Matt and Steve</v>
      </c>
      <c r="E296" s="180" t="n">
        <f aca="false">IF(ISNUMBER(Tracker!K283),Tracker!K283,IF(ISNUMBER(Tracker!L283),Tracker!L283,0))</f>
        <v>46296</v>
      </c>
      <c r="F296" s="180" t="n">
        <f aca="false">IF(ISNUMBER(Tracker!L283),Tracker!L283,IF(ISNUMBER(Tracker!K283),Tracker!K283,0))</f>
        <v>46296</v>
      </c>
      <c r="DU296" s="0" t="str">
        <f aca="false">Tracker!M283</f>
        <v>Not Started</v>
      </c>
    </row>
    <row r="297" customFormat="false" ht="15" hidden="false" customHeight="false" outlineLevel="1" collapsed="false">
      <c r="A297" s="179" t="str">
        <f aca="false">Tracker!F284</f>
        <v>NEW</v>
      </c>
      <c r="B297" s="179" t="str">
        <f aca="false">Tracker!G284</f>
        <v>Last Mile Crowd Management Plan Approved</v>
      </c>
      <c r="C297" s="179" t="str">
        <f aca="false">TRIM(Tracker!D284)</f>
        <v>Security and Crowd Management (SEC &amp; CMT)</v>
      </c>
      <c r="D297" s="179" t="str">
        <f aca="false">IF(TRIM(Tracker!J284)="",Tracker!I284,Tracker!J284)</f>
        <v>Matt and Steve</v>
      </c>
      <c r="E297" s="180" t="n">
        <f aca="false">IF(ISNUMBER(Tracker!K284),Tracker!K284,IF(ISNUMBER(Tracker!L284),Tracker!L284,0))</f>
        <v>46357</v>
      </c>
      <c r="F297" s="180" t="n">
        <f aca="false">IF(ISNUMBER(Tracker!L284),Tracker!L284,IF(ISNUMBER(Tracker!K284),Tracker!K284,0))</f>
        <v>46357</v>
      </c>
      <c r="DU297" s="0" t="str">
        <f aca="false">Tracker!M284</f>
        <v>Not Started</v>
      </c>
    </row>
    <row r="298" customFormat="false" ht="15" hidden="false" customHeight="false" outlineLevel="1" collapsed="false">
      <c r="A298" s="179" t="str">
        <f aca="false">Tracker!F285</f>
        <v>NEW</v>
      </c>
      <c r="B298" s="179" t="str">
        <f aca="false">Tracker!G285</f>
        <v>Site Evacuation Plan Signed Off</v>
      </c>
      <c r="C298" s="179" t="str">
        <f aca="false">TRIM(Tracker!D285)</f>
        <v>Security and Crowd Management (SEC &amp; CMT)</v>
      </c>
      <c r="D298" s="179" t="str">
        <f aca="false">IF(TRIM(Tracker!J285)="",Tracker!I285,Tracker!J285)</f>
        <v>Matt and Steve</v>
      </c>
      <c r="E298" s="180" t="n">
        <f aca="false">IF(ISNUMBER(Tracker!K285),Tracker!K285,IF(ISNUMBER(Tracker!L285),Tracker!L285,0))</f>
        <v>46371</v>
      </c>
      <c r="F298" s="180" t="n">
        <f aca="false">IF(ISNUMBER(Tracker!L285),Tracker!L285,IF(ISNUMBER(Tracker!K285),Tracker!K285,0))</f>
        <v>46371</v>
      </c>
      <c r="DU298" s="0" t="str">
        <f aca="false">Tracker!M285</f>
        <v>Not Started</v>
      </c>
    </row>
    <row r="299" customFormat="false" ht="15" hidden="false" customHeight="false" outlineLevel="1" collapsed="false">
      <c r="A299" s="179" t="str">
        <f aca="false">Tracker!F286</f>
        <v>NEW</v>
      </c>
      <c r="B299" s="179" t="str">
        <f aca="false">Tracker!G286</f>
        <v>Security Manpower Contractor Onboarded &amp; Equipped</v>
      </c>
      <c r="C299" s="179" t="str">
        <f aca="false">TRIM(Tracker!D286)</f>
        <v>Security and Crowd Management (SEC &amp; CMT)</v>
      </c>
      <c r="D299" s="179" t="str">
        <f aca="false">IF(TRIM(Tracker!J286)="",Tracker!I286,Tracker!J286)</f>
        <v>Matt and Steve</v>
      </c>
      <c r="E299" s="180" t="n">
        <f aca="false">IF(ISNUMBER(Tracker!K286),Tracker!K286,IF(ISNUMBER(Tracker!L286),Tracker!L286,0))</f>
        <v>46402</v>
      </c>
      <c r="F299" s="180" t="n">
        <f aca="false">IF(ISNUMBER(Tracker!L286),Tracker!L286,IF(ISNUMBER(Tracker!K286),Tracker!K286,0))</f>
        <v>46402</v>
      </c>
      <c r="DU299" s="0" t="str">
        <f aca="false">Tracker!M286</f>
        <v>Not Started</v>
      </c>
    </row>
    <row r="300" customFormat="false" ht="15" hidden="false" customHeight="false" outlineLevel="1" collapsed="false">
      <c r="A300" s="179" t="str">
        <f aca="false">Tracker!F287</f>
        <v>CM.CMT.01.1</v>
      </c>
      <c r="B300" s="179" t="str">
        <f aca="false">Tracker!G287</f>
        <v>DOP V1</v>
      </c>
      <c r="C300" s="179" t="str">
        <f aca="false">TRIM(Tracker!D287)</f>
        <v>Security and Crowd Management (SEC &amp; CMT)</v>
      </c>
      <c r="D300" s="179" t="str">
        <f aca="false">IF(TRIM(Tracker!J287)="",Tracker!I287,Tracker!J287)</f>
        <v>Matt</v>
      </c>
      <c r="E300" s="180" t="n">
        <f aca="false">IF(ISNUMBER(Tracker!K287),Tracker!K287,IF(ISNUMBER(Tracker!L287),Tracker!L287,0))</f>
        <v>46224</v>
      </c>
      <c r="F300" s="180" t="n">
        <f aca="false">IF(ISNUMBER(Tracker!L287),Tracker!L287,IF(ISNUMBER(Tracker!K287),Tracker!K287,0))</f>
        <v>46224</v>
      </c>
      <c r="DU300" s="0" t="str">
        <f aca="false">Tracker!M287</f>
        <v>Complete</v>
      </c>
    </row>
    <row r="301" customFormat="false" ht="15" hidden="false" customHeight="false" outlineLevel="1" collapsed="false">
      <c r="A301" s="179" t="str">
        <f aca="false">Tracker!F288</f>
        <v>CM.CMT.01.2</v>
      </c>
      <c r="B301" s="179" t="str">
        <f aca="false">Tracker!G288</f>
        <v>DOP V2</v>
      </c>
      <c r="C301" s="179" t="str">
        <f aca="false">TRIM(Tracker!D288)</f>
        <v>Security and Crowd Management (SEC &amp; CMT)</v>
      </c>
      <c r="D301" s="179" t="str">
        <f aca="false">IF(TRIM(Tracker!J288)="",Tracker!I288,Tracker!J288)</f>
        <v>Matt</v>
      </c>
      <c r="E301" s="181" t="n">
        <f aca="false">IF(ISNUMBER(Tracker!K288),Tracker!K288,IF(ISNUMBER(Tracker!L288),Tracker!L288,0))</f>
        <v>0</v>
      </c>
      <c r="F301" s="181" t="n">
        <f aca="false">IF(ISNUMBER(Tracker!L288),Tracker!L288,IF(ISNUMBER(Tracker!K288),Tracker!K288,0))</f>
        <v>0</v>
      </c>
      <c r="DU301" s="0" t="str">
        <f aca="false">Tracker!M288</f>
        <v>Not Started</v>
      </c>
    </row>
    <row r="302" customFormat="false" ht="15" hidden="false" customHeight="false" outlineLevel="1" collapsed="false">
      <c r="A302" s="179" t="str">
        <f aca="false">Tracker!F289</f>
        <v>CM.CMT.01.3</v>
      </c>
      <c r="B302" s="179" t="str">
        <f aca="false">Tracker!G289</f>
        <v>DOP V3</v>
      </c>
      <c r="C302" s="179" t="str">
        <f aca="false">TRIM(Tracker!D289)</f>
        <v>Security and Crowd Management (SEC &amp; CMT)</v>
      </c>
      <c r="D302" s="179" t="str">
        <f aca="false">IF(TRIM(Tracker!J289)="",Tracker!I289,Tracker!J289)</f>
        <v>Matt</v>
      </c>
      <c r="E302" s="181" t="n">
        <f aca="false">IF(ISNUMBER(Tracker!K289),Tracker!K289,IF(ISNUMBER(Tracker!L289),Tracker!L289,0))</f>
        <v>0</v>
      </c>
      <c r="F302" s="181" t="n">
        <f aca="false">IF(ISNUMBER(Tracker!L289),Tracker!L289,IF(ISNUMBER(Tracker!K289),Tracker!K289,0))</f>
        <v>0</v>
      </c>
      <c r="DU302" s="0" t="str">
        <f aca="false">Tracker!M289</f>
        <v>Not Started</v>
      </c>
    </row>
    <row r="303" customFormat="false" ht="15" hidden="false" customHeight="false" outlineLevel="1" collapsed="false">
      <c r="A303" s="179" t="str">
        <f aca="false">Tracker!F290</f>
        <v>CM.CMT.01.4</v>
      </c>
      <c r="B303" s="179" t="str">
        <f aca="false">Tracker!G290</f>
        <v>Crowd Management Plan V2</v>
      </c>
      <c r="C303" s="179" t="str">
        <f aca="false">TRIM(Tracker!D290)</f>
        <v>Security and Crowd Management (SEC &amp; CMT)</v>
      </c>
      <c r="D303" s="179" t="str">
        <f aca="false">IF(TRIM(Tracker!J290)="",Tracker!I290,Tracker!J290)</f>
        <v>Matt and Steve</v>
      </c>
      <c r="E303" s="180" t="n">
        <f aca="false">IF(ISNUMBER(Tracker!K290),Tracker!K290,IF(ISNUMBER(Tracker!L290),Tracker!L290,0))</f>
        <v>46266</v>
      </c>
      <c r="F303" s="180" t="n">
        <f aca="false">IF(ISNUMBER(Tracker!L290),Tracker!L290,IF(ISNUMBER(Tracker!K290),Tracker!K290,0))</f>
        <v>46318</v>
      </c>
      <c r="DU303" s="0" t="str">
        <f aca="false">Tracker!M290</f>
        <v>Not Started</v>
      </c>
    </row>
    <row r="304" customFormat="false" ht="15" hidden="false" customHeight="false" outlineLevel="1" collapsed="false">
      <c r="A304" s="179" t="str">
        <f aca="false">Tracker!F291</f>
        <v>CM.CMT.01.5</v>
      </c>
      <c r="B304" s="179" t="str">
        <f aca="false">Tracker!G291</f>
        <v>Crowd Management Plan V3</v>
      </c>
      <c r="C304" s="179" t="str">
        <f aca="false">TRIM(Tracker!D291)</f>
        <v>Security and Crowd Management (SEC &amp; CMT)</v>
      </c>
      <c r="D304" s="179" t="str">
        <f aca="false">IF(TRIM(Tracker!J291)="",Tracker!I291,Tracker!J291)</f>
        <v>Matt and Steve</v>
      </c>
      <c r="E304" s="180" t="n">
        <f aca="false">IF(ISNUMBER(Tracker!K291),Tracker!K291,IF(ISNUMBER(Tracker!L291),Tracker!L291,0))</f>
        <v>46328</v>
      </c>
      <c r="F304" s="180" t="n">
        <f aca="false">IF(ISNUMBER(Tracker!L291),Tracker!L291,IF(ISNUMBER(Tracker!K291),Tracker!K291,0))</f>
        <v>46423</v>
      </c>
      <c r="DU304" s="0" t="str">
        <f aca="false">Tracker!M291</f>
        <v>Not Started</v>
      </c>
    </row>
    <row r="305" customFormat="false" ht="15" hidden="false" customHeight="false" outlineLevel="1" collapsed="false">
      <c r="A305" s="179" t="str">
        <f aca="false">Tracker!F292</f>
        <v>CM.CMT.02</v>
      </c>
      <c r="B305" s="179" t="str">
        <f aca="false">Tracker!G292</f>
        <v>Site Capacity &amp; Density Modelling Validation</v>
      </c>
      <c r="C305" s="179" t="str">
        <f aca="false">TRIM(Tracker!D292)</f>
        <v>Security and Crowd Management (SEC &amp; CMT)</v>
      </c>
      <c r="D305" s="179" t="str">
        <f aca="false">IF(TRIM(Tracker!J292)="",Tracker!I292,Tracker!J292)</f>
        <v>Matt and Steve</v>
      </c>
      <c r="E305" s="180" t="n">
        <f aca="false">IF(ISNUMBER(Tracker!K292),Tracker!K292,IF(ISNUMBER(Tracker!L292),Tracker!L292,0))</f>
        <v>46238</v>
      </c>
      <c r="F305" s="180" t="n">
        <f aca="false">IF(ISNUMBER(Tracker!L292),Tracker!L292,IF(ISNUMBER(Tracker!K292),Tracker!K292,0))</f>
        <v>46295</v>
      </c>
      <c r="DU305" s="0" t="str">
        <f aca="false">Tracker!M292</f>
        <v>On Track</v>
      </c>
    </row>
    <row r="306" customFormat="false" ht="15" hidden="false" customHeight="false" outlineLevel="1" collapsed="false">
      <c r="A306" s="179" t="str">
        <f aca="false">Tracker!F293</f>
        <v>CM.CMT.03</v>
      </c>
      <c r="B306" s="179" t="str">
        <f aca="false">Tracker!G293</f>
        <v>Evacuation &amp; Emergency Response Plan Review</v>
      </c>
      <c r="C306" s="179" t="str">
        <f aca="false">TRIM(Tracker!D293)</f>
        <v>Security and Crowd Management (SEC &amp; CMT)</v>
      </c>
      <c r="D306" s="179" t="str">
        <f aca="false">IF(TRIM(Tracker!J293)="",Tracker!I293,Tracker!J293)</f>
        <v>Matt and Steve</v>
      </c>
      <c r="E306" s="180" t="n">
        <f aca="false">IF(ISNUMBER(Tracker!K293),Tracker!K293,IF(ISNUMBER(Tracker!L293),Tracker!L293,0))</f>
        <v>46266</v>
      </c>
      <c r="F306" s="180" t="n">
        <f aca="false">IF(ISNUMBER(Tracker!L293),Tracker!L293,IF(ISNUMBER(Tracker!K293),Tracker!K293,0))</f>
        <v>46507</v>
      </c>
      <c r="DU306" s="0" t="str">
        <f aca="false">Tracker!M293</f>
        <v>Not Started</v>
      </c>
    </row>
    <row r="307" customFormat="false" ht="15" hidden="false" customHeight="false" outlineLevel="1" collapsed="false">
      <c r="A307" s="179" t="str">
        <f aca="false">Tracker!F294</f>
        <v>CM.CMT.04</v>
      </c>
      <c r="B307" s="179" t="str">
        <f aca="false">Tracker!G294</f>
        <v>Crowd Flow &amp; Behaviour Modelling</v>
      </c>
      <c r="C307" s="179" t="str">
        <f aca="false">TRIM(Tracker!D294)</f>
        <v>Security and Crowd Management (SEC &amp; CMT)</v>
      </c>
      <c r="D307" s="179" t="str">
        <f aca="false">IF(TRIM(Tracker!J294)="",Tracker!I294,Tracker!J294)</f>
        <v>Matt and Steve</v>
      </c>
      <c r="E307" s="180" t="n">
        <f aca="false">IF(ISNUMBER(Tracker!K294),Tracker!K294,IF(ISNUMBER(Tracker!L294),Tracker!L294,0))</f>
        <v>46300</v>
      </c>
      <c r="F307" s="180" t="n">
        <f aca="false">IF(ISNUMBER(Tracker!L294),Tracker!L294,IF(ISNUMBER(Tracker!K294),Tracker!K294,0))</f>
        <v>46395</v>
      </c>
      <c r="DU307" s="0" t="str">
        <f aca="false">Tracker!M294</f>
        <v>Not Started</v>
      </c>
    </row>
    <row r="308" customFormat="false" ht="15" hidden="false" customHeight="false" outlineLevel="1" collapsed="false">
      <c r="A308" s="179" t="str">
        <f aca="false">Tracker!F295</f>
        <v>CM.CMT.05</v>
      </c>
      <c r="B308" s="179" t="str">
        <f aca="false">Tracker!G295</f>
        <v>Queue Management Strategy Development</v>
      </c>
      <c r="C308" s="179" t="str">
        <f aca="false">TRIM(Tracker!D295)</f>
        <v>Security and Crowd Management (SEC &amp; CMT)</v>
      </c>
      <c r="D308" s="179" t="str">
        <f aca="false">IF(TRIM(Tracker!J295)="",Tracker!I295,Tracker!J295)</f>
        <v>Matt and Steve</v>
      </c>
      <c r="E308" s="180" t="n">
        <f aca="false">IF(ISNUMBER(Tracker!K295),Tracker!K295,IF(ISNUMBER(Tracker!L295),Tracker!L295,0))</f>
        <v>46237</v>
      </c>
      <c r="F308" s="180" t="n">
        <f aca="false">IF(ISNUMBER(Tracker!L295),Tracker!L295,IF(ISNUMBER(Tracker!K295),Tracker!K295,0))</f>
        <v>46416</v>
      </c>
      <c r="DU308" s="0" t="str">
        <f aca="false">Tracker!M295</f>
        <v>On Track</v>
      </c>
    </row>
    <row r="309" customFormat="false" ht="15" hidden="false" customHeight="false" outlineLevel="1" collapsed="false">
      <c r="A309" s="179" t="str">
        <f aca="false">Tracker!F296</f>
        <v>CM.CMT.07</v>
      </c>
      <c r="B309" s="179" t="str">
        <f aca="false">Tracker!G296</f>
        <v>Last Mile &amp; Arrival/Departure Planning</v>
      </c>
      <c r="C309" s="179" t="str">
        <f aca="false">TRIM(Tracker!D296)</f>
        <v>Security and Crowd Management (SEC &amp; CMT)</v>
      </c>
      <c r="D309" s="179" t="str">
        <f aca="false">IF(TRIM(Tracker!J296)="",Tracker!I296,Tracker!J296)</f>
        <v>Matt and Steve</v>
      </c>
      <c r="E309" s="180" t="n">
        <f aca="false">IF(ISNUMBER(Tracker!K296),Tracker!K296,IF(ISNUMBER(Tracker!L296),Tracker!L296,0))</f>
        <v>46258</v>
      </c>
      <c r="F309" s="180" t="n">
        <f aca="false">IF(ISNUMBER(Tracker!L296),Tracker!L296,IF(ISNUMBER(Tracker!K296),Tracker!K296,0))</f>
        <v>46416</v>
      </c>
      <c r="DU309" s="0" t="str">
        <f aca="false">Tracker!M296</f>
        <v>On Track</v>
      </c>
    </row>
    <row r="310" customFormat="false" ht="15" hidden="false" customHeight="false" outlineLevel="1" collapsed="false">
      <c r="A310" s="179" t="str">
        <f aca="false">Tracker!F297</f>
        <v>CM.CMT.08</v>
      </c>
      <c r="B310" s="179" t="str">
        <f aca="false">Tracker!G297</f>
        <v>Crowd Management Systems &amp; Technology Solutions</v>
      </c>
      <c r="C310" s="179" t="str">
        <f aca="false">TRIM(Tracker!D297)</f>
        <v>Security and Crowd Management (SEC &amp; CMT)</v>
      </c>
      <c r="D310" s="179" t="str">
        <f aca="false">IF(TRIM(Tracker!J297)="",Tracker!I297,Tracker!J297)</f>
        <v>Matt and Steve</v>
      </c>
      <c r="E310" s="180" t="n">
        <f aca="false">IF(ISNUMBER(Tracker!K297),Tracker!K297,IF(ISNUMBER(Tracker!L297),Tracker!L297,0))</f>
        <v>46237</v>
      </c>
      <c r="F310" s="180" t="n">
        <f aca="false">IF(ISNUMBER(Tracker!L297),Tracker!L297,IF(ISNUMBER(Tracker!K297),Tracker!K297,0))</f>
        <v>46416</v>
      </c>
      <c r="DU310" s="0" t="str">
        <f aca="false">Tracker!M297</f>
        <v>On Track</v>
      </c>
    </row>
    <row r="311" customFormat="false" ht="15" hidden="false" customHeight="false" outlineLevel="1" collapsed="false">
      <c r="A311" s="179" t="str">
        <f aca="false">Tracker!F298</f>
        <v>CM.CMT.09</v>
      </c>
      <c r="B311" s="179" t="str">
        <f aca="false">Tracker!G298</f>
        <v>Facilitate Cross-Functional Crowd Management Integration</v>
      </c>
      <c r="C311" s="179" t="str">
        <f aca="false">TRIM(Tracker!D298)</f>
        <v>Security and Crowd Management (SEC &amp; CMT)</v>
      </c>
      <c r="D311" s="179" t="str">
        <f aca="false">IF(TRIM(Tracker!J298)="",Tracker!I298,Tracker!J298)</f>
        <v>Matt and Steve</v>
      </c>
      <c r="E311" s="180" t="n">
        <f aca="false">IF(ISNUMBER(Tracker!K298),Tracker!K298,IF(ISNUMBER(Tracker!L298),Tracker!L298,0))</f>
        <v>46223</v>
      </c>
      <c r="F311" s="180" t="n">
        <f aca="false">IF(ISNUMBER(Tracker!L298),Tracker!L298,IF(ISNUMBER(Tracker!K298),Tracker!K298,0))</f>
        <v>46506</v>
      </c>
      <c r="DU311" s="0" t="str">
        <f aca="false">Tracker!M298</f>
        <v>On Track</v>
      </c>
    </row>
    <row r="312" customFormat="false" ht="15" hidden="false" customHeight="false" outlineLevel="1" collapsed="false">
      <c r="A312" s="179" t="str">
        <f aca="false">Tracker!F299</f>
        <v>CM.CMT.10</v>
      </c>
      <c r="B312" s="179" t="str">
        <f aca="false">Tracker!G299</f>
        <v>Crowd Management Operational Readiness</v>
      </c>
      <c r="C312" s="179" t="str">
        <f aca="false">TRIM(Tracker!D299)</f>
        <v>Security and Crowd Management (SEC &amp; CMT)</v>
      </c>
      <c r="D312" s="179" t="str">
        <f aca="false">IF(TRIM(Tracker!J299)="",Tracker!I299,Tracker!J299)</f>
        <v>Matt and Steve</v>
      </c>
      <c r="E312" s="180" t="n">
        <f aca="false">IF(ISNUMBER(Tracker!K299),Tracker!K299,IF(ISNUMBER(Tracker!L299),Tracker!L299,0))</f>
        <v>46296</v>
      </c>
      <c r="F312" s="180" t="n">
        <f aca="false">IF(ISNUMBER(Tracker!L299),Tracker!L299,IF(ISNUMBER(Tracker!K299),Tracker!K299,0))</f>
        <v>46417</v>
      </c>
      <c r="DU312" s="0" t="str">
        <f aca="false">Tracker!M299</f>
        <v>Not Started</v>
      </c>
    </row>
    <row r="313" customFormat="false" ht="15" hidden="false" customHeight="false" outlineLevel="1" collapsed="false">
      <c r="A313" s="179" t="str">
        <f aca="false">Tracker!F300</f>
        <v>CM.CMT.10.1</v>
      </c>
      <c r="B313" s="179" t="str">
        <f aca="false">Tracker!G300</f>
        <v>Crowd Management Exercises &amp; Scenario Testing</v>
      </c>
      <c r="C313" s="179" t="str">
        <f aca="false">TRIM(Tracker!D300)</f>
        <v>Security and Crowd Management (SEC &amp; CMT)</v>
      </c>
      <c r="D313" s="179" t="str">
        <f aca="false">IF(TRIM(Tracker!J300)="",Tracker!I300,Tracker!J300)</f>
        <v>Matt and Steve</v>
      </c>
      <c r="E313" s="180" t="n">
        <f aca="false">IF(ISNUMBER(Tracker!K300),Tracker!K300,IF(ISNUMBER(Tracker!L300),Tracker!L300,0))</f>
        <v>46388</v>
      </c>
      <c r="F313" s="180" t="n">
        <f aca="false">IF(ISNUMBER(Tracker!L300),Tracker!L300,IF(ISNUMBER(Tracker!K300),Tracker!K300,0))</f>
        <v>46506</v>
      </c>
      <c r="DU313" s="0" t="str">
        <f aca="false">Tracker!M300</f>
        <v>Not Started</v>
      </c>
    </row>
    <row r="314" customFormat="false" ht="15" hidden="false" customHeight="false" outlineLevel="1" collapsed="false">
      <c r="A314" s="179" t="str">
        <f aca="false">Tracker!F301</f>
        <v>CM.SEC.01</v>
      </c>
      <c r="B314" s="179" t="str">
        <f aca="false">Tracker!G301</f>
        <v>Security Strategies &amp; Operational Plans</v>
      </c>
      <c r="C314" s="179" t="str">
        <f aca="false">TRIM(Tracker!D301)</f>
        <v>Security and Crowd Management (SEC &amp; CMT)</v>
      </c>
      <c r="D314" s="179" t="str">
        <f aca="false">IF(TRIM(Tracker!J301)="",Tracker!I301,Tracker!J301)</f>
        <v>Matt and Steve</v>
      </c>
      <c r="E314" s="180" t="n">
        <f aca="false">IF(ISNUMBER(Tracker!K301),Tracker!K301,IF(ISNUMBER(Tracker!L301),Tracker!L301,0))</f>
        <v>46204</v>
      </c>
      <c r="F314" s="180" t="n">
        <f aca="false">IF(ISNUMBER(Tracker!L301),Tracker!L301,IF(ISNUMBER(Tracker!K301),Tracker!K301,0))</f>
        <v>46506</v>
      </c>
      <c r="DU314" s="0" t="str">
        <f aca="false">Tracker!M301</f>
        <v>On Track</v>
      </c>
    </row>
    <row r="315" customFormat="false" ht="15" hidden="false" customHeight="false" outlineLevel="1" collapsed="false">
      <c r="A315" s="179" t="str">
        <f aca="false">Tracker!F302</f>
        <v>CM.SEC.01.2</v>
      </c>
      <c r="B315" s="179" t="str">
        <f aca="false">Tracker!G302</f>
        <v> Security Workforce and Dot Planning </v>
      </c>
      <c r="C315" s="179" t="str">
        <f aca="false">TRIM(Tracker!D302)</f>
        <v>Security and Crowd Management (SEC &amp; CMT)</v>
      </c>
      <c r="D315" s="179" t="str">
        <f aca="false">IF(TRIM(Tracker!J302)="",Tracker!I302,Tracker!J302)</f>
        <v>Matt and Steve</v>
      </c>
      <c r="E315" s="180" t="n">
        <f aca="false">IF(ISNUMBER(Tracker!K302),Tracker!K302,IF(ISNUMBER(Tracker!L302),Tracker!L302,0))</f>
        <v>46251</v>
      </c>
      <c r="F315" s="180" t="n">
        <f aca="false">IF(ISNUMBER(Tracker!L302),Tracker!L302,IF(ISNUMBER(Tracker!K302),Tracker!K302,0))</f>
        <v>46417</v>
      </c>
      <c r="DU315" s="0" t="str">
        <f aca="false">Tracker!M302</f>
        <v>Not Started</v>
      </c>
    </row>
    <row r="316" customFormat="false" ht="15" hidden="false" customHeight="false" outlineLevel="1" collapsed="false">
      <c r="A316" s="179" t="str">
        <f aca="false">Tracker!F303</f>
        <v>CM.SEC.02.1</v>
      </c>
      <c r="B316" s="179" t="str">
        <f aca="false">Tracker!G303</f>
        <v>DOP V1</v>
      </c>
      <c r="C316" s="179" t="str">
        <f aca="false">TRIM(Tracker!D303)</f>
        <v>Security and Crowd Management (SEC &amp; CMT)</v>
      </c>
      <c r="D316" s="179" t="str">
        <f aca="false">IF(TRIM(Tracker!J303)="",Tracker!I303,Tracker!J303)</f>
        <v>Matt and Steve</v>
      </c>
      <c r="E316" s="180" t="n">
        <f aca="false">IF(ISNUMBER(Tracker!K303),Tracker!K303,IF(ISNUMBER(Tracker!L303),Tracker!L303,0))</f>
        <v>46224</v>
      </c>
      <c r="F316" s="180" t="n">
        <f aca="false">IF(ISNUMBER(Tracker!L303),Tracker!L303,IF(ISNUMBER(Tracker!K303),Tracker!K303,0))</f>
        <v>46506</v>
      </c>
      <c r="DU316" s="0" t="str">
        <f aca="false">Tracker!M303</f>
        <v>Complete</v>
      </c>
    </row>
    <row r="317" customFormat="false" ht="15" hidden="false" customHeight="false" outlineLevel="1" collapsed="false">
      <c r="A317" s="179" t="str">
        <f aca="false">Tracker!F304</f>
        <v>CM.SEC.02.2</v>
      </c>
      <c r="B317" s="179" t="str">
        <f aca="false">Tracker!G304</f>
        <v>DOP V2</v>
      </c>
      <c r="C317" s="179" t="str">
        <f aca="false">TRIM(Tracker!D304)</f>
        <v>Security and Crowd Management (SEC &amp; CMT)</v>
      </c>
      <c r="D317" s="179" t="str">
        <f aca="false">IF(TRIM(Tracker!J304)="",Tracker!I304,Tracker!J304)</f>
        <v>Matt and Steve</v>
      </c>
      <c r="E317" s="181" t="n">
        <f aca="false">IF(ISNUMBER(Tracker!K304),Tracker!K304,IF(ISNUMBER(Tracker!L304),Tracker!L304,0))</f>
        <v>0</v>
      </c>
      <c r="F317" s="181" t="n">
        <f aca="false">IF(ISNUMBER(Tracker!L304),Tracker!L304,IF(ISNUMBER(Tracker!K304),Tracker!K304,0))</f>
        <v>0</v>
      </c>
      <c r="DU317" s="0" t="str">
        <f aca="false">Tracker!M304</f>
        <v>Not Started</v>
      </c>
    </row>
    <row r="318" customFormat="false" ht="15" hidden="false" customHeight="false" outlineLevel="1" collapsed="false">
      <c r="A318" s="179" t="str">
        <f aca="false">Tracker!F305</f>
        <v>CM.SEC.03</v>
      </c>
      <c r="B318" s="179" t="str">
        <f aca="false">Tracker!G305</f>
        <v>Site Emergency Evacuation/Invacuation/Lockdown plan</v>
      </c>
      <c r="C318" s="179" t="str">
        <f aca="false">TRIM(Tracker!D305)</f>
        <v>Security and Crowd Management (SEC &amp; CMT)</v>
      </c>
      <c r="D318" s="179" t="str">
        <f aca="false">IF(TRIM(Tracker!J305)="",Tracker!I305,Tracker!J305)</f>
        <v>Steve</v>
      </c>
      <c r="E318" s="181" t="n">
        <f aca="false">IF(ISNUMBER(Tracker!K305),Tracker!K305,IF(ISNUMBER(Tracker!L305),Tracker!L305,0))</f>
        <v>46223</v>
      </c>
      <c r="F318" s="181" t="n">
        <f aca="false">IF(ISNUMBER(Tracker!L305),Tracker!L305,IF(ISNUMBER(Tracker!K305),Tracker!K305,0))</f>
        <v>46223</v>
      </c>
      <c r="DU318" s="0" t="str">
        <f aca="false">Tracker!M305</f>
        <v>On Track</v>
      </c>
    </row>
    <row r="319" customFormat="false" ht="15" hidden="false" customHeight="false" outlineLevel="1" collapsed="false">
      <c r="A319" s="179" t="str">
        <f aca="false">Tracker!F306</f>
        <v>CM.SEC04</v>
      </c>
      <c r="B319" s="179" t="str">
        <f aca="false">Tracker!G306</f>
        <v>Review Security Systems &amp; Technical Readiness</v>
      </c>
      <c r="C319" s="179" t="str">
        <f aca="false">TRIM(Tracker!D306)</f>
        <v>Security and Crowd Management (SEC &amp; CMT)</v>
      </c>
      <c r="D319" s="179" t="str">
        <f aca="false">IF(TRIM(Tracker!J306)="",Tracker!I306,Tracker!J306)</f>
        <v>Matt and Steve</v>
      </c>
      <c r="E319" s="180" t="n">
        <f aca="false">IF(ISNUMBER(Tracker!K306),Tracker!K306,IF(ISNUMBER(Tracker!L306),Tracker!L306,0))</f>
        <v>46223</v>
      </c>
      <c r="F319" s="180" t="n">
        <f aca="false">IF(ISNUMBER(Tracker!L306),Tracker!L306,IF(ISNUMBER(Tracker!K306),Tracker!K306,0))</f>
        <v>46416</v>
      </c>
      <c r="DU319" s="0" t="str">
        <f aca="false">Tracker!M306</f>
        <v>On Track</v>
      </c>
    </row>
    <row r="320" customFormat="false" ht="15" hidden="false" customHeight="false" outlineLevel="1" collapsed="false">
      <c r="A320" s="179" t="str">
        <f aca="false">Tracker!F307</f>
        <v>CM.SEC.05</v>
      </c>
      <c r="B320" s="179" t="str">
        <f aca="false">Tracker!G307</f>
        <v>Joint Agency Governance Framework Design</v>
      </c>
      <c r="C320" s="179" t="str">
        <f aca="false">TRIM(Tracker!D307)</f>
        <v>Security and Crowd Management (SEC &amp; CMT)</v>
      </c>
      <c r="D320" s="179" t="str">
        <f aca="false">IF(TRIM(Tracker!J307)="",Tracker!I307,Tracker!J307)</f>
        <v>Matt and Steve</v>
      </c>
      <c r="E320" s="180" t="n">
        <f aca="false">IF(ISNUMBER(Tracker!K307),Tracker!K307,IF(ISNUMBER(Tracker!L307),Tracker!L307,0))</f>
        <v>46223</v>
      </c>
      <c r="F320" s="180" t="n">
        <f aca="false">IF(ISNUMBER(Tracker!L307),Tracker!L307,IF(ISNUMBER(Tracker!K307),Tracker!K307,0))</f>
        <v>46416</v>
      </c>
      <c r="DU320" s="0" t="str">
        <f aca="false">Tracker!M307</f>
        <v>On Track</v>
      </c>
    </row>
    <row r="321" customFormat="false" ht="15" hidden="false" customHeight="false" outlineLevel="1" collapsed="false">
      <c r="A321" s="179" t="str">
        <f aca="false">Tracker!F308</f>
        <v>CM.SEC.06</v>
      </c>
      <c r="B321" s="179" t="str">
        <f aca="false">Tracker!G308</f>
        <v>VIP/VVIP Security Planning Assurance</v>
      </c>
      <c r="C321" s="179" t="str">
        <f aca="false">TRIM(Tracker!D308)</f>
        <v>Security and Crowd Management (SEC &amp; CMT)</v>
      </c>
      <c r="D321" s="179" t="str">
        <f aca="false">IF(TRIM(Tracker!J308)="",Tracker!I308,Tracker!J308)</f>
        <v>Matt and Steve</v>
      </c>
      <c r="E321" s="181" t="n">
        <f aca="false">IF(ISNUMBER(Tracker!K308),Tracker!K308,IF(ISNUMBER(Tracker!L308),Tracker!L308,0))</f>
        <v>46327</v>
      </c>
      <c r="F321" s="181" t="n">
        <f aca="false">IF(ISNUMBER(Tracker!L308),Tracker!L308,IF(ISNUMBER(Tracker!K308),Tracker!K308,0))</f>
        <v>46052</v>
      </c>
      <c r="DU321" s="0" t="str">
        <f aca="false">Tracker!M308</f>
        <v>Not Started</v>
      </c>
    </row>
    <row r="322" customFormat="false" ht="15" hidden="false" customHeight="false" outlineLevel="1" collapsed="false">
      <c r="A322" s="179" t="str">
        <f aca="false">Tracker!F309</f>
        <v>CM.SEC.07</v>
      </c>
      <c r="B322" s="179" t="str">
        <f aca="false">Tracker!G309</f>
        <v>Conduct Security Readiness Reviews &amp; Exercises</v>
      </c>
      <c r="C322" s="179" t="str">
        <f aca="false">TRIM(Tracker!D309)</f>
        <v>Security and Crowd Management (SEC &amp; CMT)</v>
      </c>
      <c r="D322" s="179" t="str">
        <f aca="false">IF(TRIM(Tracker!J309)="",Tracker!I309,Tracker!J309)</f>
        <v>Matt and Steve</v>
      </c>
      <c r="E322" s="181" t="n">
        <f aca="false">IF(ISNUMBER(Tracker!K309),Tracker!K309,IF(ISNUMBER(Tracker!L309),Tracker!L309,0))</f>
        <v>46327</v>
      </c>
      <c r="F322" s="181" t="n">
        <f aca="false">IF(ISNUMBER(Tracker!L309),Tracker!L309,IF(ISNUMBER(Tracker!K309),Tracker!K309,0))</f>
        <v>46052</v>
      </c>
      <c r="DU322" s="0" t="str">
        <f aca="false">Tracker!M309</f>
        <v>On Track</v>
      </c>
    </row>
    <row r="323" customFormat="false" ht="15" hidden="false" customHeight="false" outlineLevel="1" collapsed="false">
      <c r="A323" s="179" t="str">
        <f aca="false">Tracker!F310</f>
        <v>CM.SEC.08</v>
      </c>
      <c r="B323" s="179" t="str">
        <f aca="false">Tracker!G310</f>
        <v>Security ConOps Review &amp; Gap Analysis</v>
      </c>
      <c r="C323" s="179" t="str">
        <f aca="false">TRIM(Tracker!D310)</f>
        <v>Security and Crowd Management (SEC &amp; CMT)</v>
      </c>
      <c r="D323" s="179" t="str">
        <f aca="false">IF(TRIM(Tracker!J310)="",Tracker!I310,Tracker!J310)</f>
        <v>Matt and Steve</v>
      </c>
      <c r="E323" s="181" t="n">
        <f aca="false">IF(ISNUMBER(Tracker!K310),Tracker!K310,IF(ISNUMBER(Tracker!L310),Tracker!L310,0))</f>
        <v>46327</v>
      </c>
      <c r="F323" s="181" t="n">
        <f aca="false">IF(ISNUMBER(Tracker!L310),Tracker!L310,IF(ISNUMBER(Tracker!K310),Tracker!K310,0))</f>
        <v>46052</v>
      </c>
      <c r="DU323" s="0" t="str">
        <f aca="false">Tracker!M310</f>
        <v>Not Started</v>
      </c>
    </row>
    <row r="324" customFormat="false" ht="15" hidden="false" customHeight="false" outlineLevel="1" collapsed="false">
      <c r="A324" s="179" t="str">
        <f aca="false">Tracker!F311</f>
        <v>CM.SEC.09</v>
      </c>
      <c r="B324" s="179" t="str">
        <f aca="false">Tracker!G311</f>
        <v>Security Operating Procedures Review</v>
      </c>
      <c r="C324" s="179" t="str">
        <f aca="false">TRIM(Tracker!D311)</f>
        <v>Security and Crowd Management (SEC &amp; CMT)</v>
      </c>
      <c r="D324" s="179" t="str">
        <f aca="false">IF(TRIM(Tracker!J311)="",Tracker!I311,Tracker!J311)</f>
        <v>Matt and Steve</v>
      </c>
      <c r="E324" s="181" t="n">
        <f aca="false">IF(ISNUMBER(Tracker!K311),Tracker!K311,IF(ISNUMBER(Tracker!L311),Tracker!L311,0))</f>
        <v>46327</v>
      </c>
      <c r="F324" s="181" t="n">
        <f aca="false">IF(ISNUMBER(Tracker!L311),Tracker!L311,IF(ISNUMBER(Tracker!K311),Tracker!K311,0))</f>
        <v>46052</v>
      </c>
      <c r="DU324" s="0" t="str">
        <f aca="false">Tracker!M311</f>
        <v>Not Started</v>
      </c>
    </row>
    <row r="325" customFormat="false" ht="15" hidden="false" customHeight="false" outlineLevel="1" collapsed="false">
      <c r="A325" s="179" t="str">
        <f aca="false">Tracker!F312</f>
        <v>CM.SEC.10</v>
      </c>
      <c r="B325" s="179" t="str">
        <f aca="false">Tracker!G312</f>
        <v>MOC Operations</v>
      </c>
      <c r="C325" s="179" t="str">
        <f aca="false">TRIM(Tracker!D312)</f>
        <v>Security and Crowd Management (SEC &amp; CMT)</v>
      </c>
      <c r="D325" s="179" t="str">
        <f aca="false">IF(TRIM(Tracker!J312)="",Tracker!I312,Tracker!J312)</f>
        <v>Matt and Steve</v>
      </c>
      <c r="E325" s="180" t="n">
        <f aca="false">IF(ISNUMBER(Tracker!K312),Tracker!K312,IF(ISNUMBER(Tracker!L312),Tracker!L312,0))</f>
        <v>46296</v>
      </c>
      <c r="F325" s="180" t="n">
        <f aca="false">IF(ISNUMBER(Tracker!L312),Tracker!L312,IF(ISNUMBER(Tracker!K312),Tracker!K312,0))</f>
        <v>46417</v>
      </c>
      <c r="DU325" s="0" t="str">
        <f aca="false">Tracker!M312</f>
        <v>On Track</v>
      </c>
    </row>
    <row r="326" customFormat="false" ht="15" hidden="false" customHeight="false" outlineLevel="1" collapsed="false">
      <c r="A326" s="179" t="str">
        <f aca="false">Tracker!F313</f>
        <v>CM.SEC.11</v>
      </c>
      <c r="B326" s="179" t="str">
        <f aca="false">Tracker!G313</f>
        <v>Venue Security Sweep Operation</v>
      </c>
      <c r="C326" s="179" t="str">
        <f aca="false">TRIM(Tracker!D313)</f>
        <v>Security and Crowd Management (SEC &amp; CMT)</v>
      </c>
      <c r="D326" s="179" t="str">
        <f aca="false">IF(TRIM(Tracker!J313)="",Tracker!I313,Tracker!J313)</f>
        <v>Matt and Steve</v>
      </c>
      <c r="E326" s="181" t="n">
        <f aca="false">IF(ISNUMBER(Tracker!K313),Tracker!K313,IF(ISNUMBER(Tracker!L313),Tracker!L313,0))</f>
        <v>46266</v>
      </c>
      <c r="F326" s="181" t="n">
        <f aca="false">IF(ISNUMBER(Tracker!L313),Tracker!L313,IF(ISNUMBER(Tracker!K313),Tracker!K313,0))</f>
        <v>46032</v>
      </c>
      <c r="DU326" s="0" t="str">
        <f aca="false">Tracker!M313</f>
        <v>On Track</v>
      </c>
    </row>
    <row r="327" customFormat="false" ht="15" hidden="false" customHeight="false" outlineLevel="1" collapsed="false">
      <c r="A327" s="179" t="str">
        <f aca="false">Tracker!F314</f>
        <v>CM.SEC.12</v>
      </c>
      <c r="B327" s="179" t="str">
        <f aca="false">Tracker!G314</f>
        <v>VSA Screening Operations</v>
      </c>
      <c r="C327" s="179" t="str">
        <f aca="false">TRIM(Tracker!D314)</f>
        <v>Security and Crowd Management (SEC &amp; CMT)</v>
      </c>
      <c r="D327" s="179" t="str">
        <f aca="false">IF(TRIM(Tracker!J314)="",Tracker!I314,Tracker!J314)</f>
        <v>Matt and Steve</v>
      </c>
      <c r="E327" s="180" t="n">
        <f aca="false">IF(ISNUMBER(Tracker!K314),Tracker!K314,IF(ISNUMBER(Tracker!L314),Tracker!L314,0))</f>
        <v>46266</v>
      </c>
      <c r="F327" s="180" t="n">
        <f aca="false">IF(ISNUMBER(Tracker!L314),Tracker!L314,IF(ISNUMBER(Tracker!K314),Tracker!K314,0))</f>
        <v>46417</v>
      </c>
      <c r="DU327" s="0" t="str">
        <f aca="false">Tracker!M314</f>
        <v>On Track</v>
      </c>
    </row>
    <row r="328" customFormat="false" ht="15" hidden="false" customHeight="false" outlineLevel="1" collapsed="false">
      <c r="A328" s="179" t="str">
        <f aca="false">Tracker!F315</f>
        <v>CM.SEC.13</v>
      </c>
      <c r="B328" s="179" t="str">
        <f aca="false">Tracker!G315</f>
        <v>PSA Operations</v>
      </c>
      <c r="C328" s="179" t="str">
        <f aca="false">TRIM(Tracker!D315)</f>
        <v>Security and Crowd Management (SEC &amp; CMT)</v>
      </c>
      <c r="D328" s="179" t="str">
        <f aca="false">IF(TRIM(Tracker!J315)="",Tracker!I315,Tracker!J315)</f>
        <v>Matt and Steve</v>
      </c>
      <c r="E328" s="180" t="n">
        <f aca="false">IF(ISNUMBER(Tracker!K315),Tracker!K315,IF(ISNUMBER(Tracker!L315),Tracker!L315,0))</f>
        <v>46266</v>
      </c>
      <c r="F328" s="180" t="n">
        <f aca="false">IF(ISNUMBER(Tracker!L315),Tracker!L315,IF(ISNUMBER(Tracker!K315),Tracker!K315,0))</f>
        <v>46417</v>
      </c>
      <c r="DU328" s="0" t="str">
        <f aca="false">Tracker!M315</f>
        <v>Not Started</v>
      </c>
    </row>
    <row r="329" customFormat="false" ht="15" hidden="false" customHeight="false" outlineLevel="1" collapsed="false">
      <c r="A329" s="179" t="str">
        <f aca="false">Tracker!F316</f>
        <v>CM.SEC.13.1</v>
      </c>
      <c r="B329" s="179" t="str">
        <f aca="false">Tracker!G316</f>
        <v>Prohibited Items &amp; Restricted Actions V1</v>
      </c>
      <c r="C329" s="179" t="str">
        <f aca="false">TRIM(Tracker!D316)</f>
        <v>Security and Crowd Management (SEC &amp; CMT)</v>
      </c>
      <c r="D329" s="179" t="str">
        <f aca="false">IF(TRIM(Tracker!J316)="",Tracker!I316,Tracker!J316)</f>
        <v>Matt and Steve</v>
      </c>
      <c r="E329" s="180" t="n">
        <f aca="false">IF(ISNUMBER(Tracker!K316),Tracker!K316,IF(ISNUMBER(Tracker!L316),Tracker!L316,0))</f>
        <v>46230</v>
      </c>
      <c r="F329" s="180" t="n">
        <f aca="false">IF(ISNUMBER(Tracker!L316),Tracker!L316,IF(ISNUMBER(Tracker!K316),Tracker!K316,0))</f>
        <v>46238</v>
      </c>
      <c r="DU329" s="0" t="str">
        <f aca="false">Tracker!M316</f>
        <v>Complete</v>
      </c>
    </row>
    <row r="330" customFormat="false" ht="15" hidden="false" customHeight="false" outlineLevel="1" collapsed="false">
      <c r="A330" s="179" t="str">
        <f aca="false">Tracker!F317</f>
        <v>CM.SEC.13.2</v>
      </c>
      <c r="B330" s="179" t="str">
        <f aca="false">Tracker!G317</f>
        <v>Prohibited Items &amp; Restricted Actions V2</v>
      </c>
      <c r="C330" s="179" t="str">
        <f aca="false">TRIM(Tracker!D317)</f>
        <v>Security and Crowd Management (SEC &amp; CMT)</v>
      </c>
      <c r="D330" s="179" t="str">
        <f aca="false">IF(TRIM(Tracker!J317)="",Tracker!I317,Tracker!J317)</f>
        <v>Matt and Steve</v>
      </c>
      <c r="E330" s="181" t="n">
        <f aca="false">IF(ISNUMBER(Tracker!K317),Tracker!K317,IF(ISNUMBER(Tracker!L317),Tracker!L317,0))</f>
        <v>0</v>
      </c>
      <c r="F330" s="181" t="n">
        <f aca="false">IF(ISNUMBER(Tracker!L317),Tracker!L317,IF(ISNUMBER(Tracker!K317),Tracker!K317,0))</f>
        <v>0</v>
      </c>
      <c r="DU330" s="0" t="str">
        <f aca="false">Tracker!M317</f>
        <v>Not Started</v>
      </c>
    </row>
    <row r="331" customFormat="false" ht="15.75" hidden="false" customHeight="true" outlineLevel="0" collapsed="false">
      <c r="A331" s="175"/>
      <c r="B331" s="176" t="s">
        <v>1031</v>
      </c>
      <c r="C331" s="176" t="s">
        <v>1031</v>
      </c>
      <c r="D331" s="175"/>
      <c r="E331" s="177" t="n">
        <f aca="false">IFERROR(_xlfn.MINIFS(E332:E332,E332:E332,"&gt;0"),0)</f>
        <v>46341</v>
      </c>
      <c r="F331" s="177" t="n">
        <f aca="false">IFERROR(_xlfn.MAXIFS(F332:F332,F332:F332,"&gt;0"),0)</f>
        <v>46341</v>
      </c>
      <c r="DU331" s="178" t="s">
        <v>1357</v>
      </c>
    </row>
    <row r="332" customFormat="false" ht="15" hidden="false" customHeight="false" outlineLevel="1" collapsed="false">
      <c r="A332" s="179" t="str">
        <f aca="false">Tracker!F318</f>
        <v>KM.16</v>
      </c>
      <c r="B332" s="179" t="str">
        <f aca="false">Tracker!G318</f>
        <v>Final Event-Time Operating Structure Published</v>
      </c>
      <c r="C332" s="179" t="str">
        <f aca="false">TRIM(Tracker!D318)</f>
        <v>TBC</v>
      </c>
      <c r="D332" s="179" t="str">
        <f aca="false">IF(TRIM(Tracker!J318)="",Tracker!I318,Tracker!J318)</f>
        <v>Department Led</v>
      </c>
      <c r="E332" s="180" t="n">
        <f aca="false">IF(ISNUMBER(Tracker!K318),Tracker!K318,IF(ISNUMBER(Tracker!L318),Tracker!L318,0))</f>
        <v>46341</v>
      </c>
      <c r="F332" s="180" t="n">
        <f aca="false">IF(ISNUMBER(Tracker!L318),Tracker!L318,IF(ISNUMBER(Tracker!K318),Tracker!K318,0))</f>
        <v>46341</v>
      </c>
      <c r="DU332" s="0" t="str">
        <f aca="false">Tracker!M318</f>
        <v>No Update Received</v>
      </c>
    </row>
    <row r="333" customFormat="false" ht="15.75" hidden="false" customHeight="true" outlineLevel="0" collapsed="false">
      <c r="A333" s="175"/>
      <c r="B333" s="176" t="s">
        <v>1034</v>
      </c>
      <c r="C333" s="176" t="s">
        <v>1034</v>
      </c>
      <c r="D333" s="175"/>
      <c r="E333" s="177" t="n">
        <f aca="false">IFERROR(_xlfn.MINIFS(E334:E351,E334:E351,"&gt;0"),0)</f>
        <v>46174</v>
      </c>
      <c r="F333" s="177" t="n">
        <f aca="false">IFERROR(_xlfn.MAXIFS(F334:F351,F334:F351,"&gt;0"),0)</f>
        <v>46508</v>
      </c>
      <c r="DU333" s="178" t="s">
        <v>1357</v>
      </c>
    </row>
    <row r="334" customFormat="false" ht="15" hidden="false" customHeight="false" outlineLevel="1" collapsed="false">
      <c r="A334" s="179" t="str">
        <f aca="false">Tracker!F319</f>
        <v>KM.102</v>
      </c>
      <c r="B334" s="179" t="str">
        <f aca="false">Tracker!G319</f>
        <v>Expo Fleet Pre-Event Operations Commence</v>
      </c>
      <c r="C334" s="179" t="str">
        <f aca="false">TRIM(Tracker!D319)</f>
        <v>Transport (TMO)</v>
      </c>
      <c r="D334" s="179" t="str">
        <f aca="false">IF(TRIM(Tracker!J319)="",Tracker!I319,Tracker!J319)</f>
        <v>Department Led</v>
      </c>
      <c r="E334" s="180" t="n">
        <f aca="false">IF(ISNUMBER(Tracker!K319),Tracker!K319,IF(ISNUMBER(Tracker!L319),Tracker!L319,0))</f>
        <v>46174</v>
      </c>
      <c r="F334" s="180" t="n">
        <f aca="false">IF(ISNUMBER(Tracker!L319),Tracker!L319,IF(ISNUMBER(Tracker!K319),Tracker!K319,0))</f>
        <v>46174</v>
      </c>
      <c r="DU334" s="0" t="str">
        <f aca="false">Tracker!M319</f>
        <v>Complete</v>
      </c>
    </row>
    <row r="335" customFormat="false" ht="15" hidden="false" customHeight="false" outlineLevel="1" collapsed="false">
      <c r="A335" s="179" t="str">
        <f aca="false">Tracker!F320</f>
        <v>KM.118</v>
      </c>
      <c r="B335" s="179" t="str">
        <f aca="false">Tracker!G320</f>
        <v>Railway Transportation Operations Commence</v>
      </c>
      <c r="C335" s="179" t="str">
        <f aca="false">TRIM(Tracker!D320)</f>
        <v>Transport (TMO)</v>
      </c>
      <c r="D335" s="179" t="str">
        <f aca="false">IF(TRIM(Tracker!J320)="",Tracker!I320,Tracker!J320)</f>
        <v>Department Led</v>
      </c>
      <c r="E335" s="180" t="n">
        <f aca="false">IF(ISNUMBER(Tracker!K320),Tracker!K320,IF(ISNUMBER(Tracker!L320),Tracker!L320,0))</f>
        <v>46478</v>
      </c>
      <c r="F335" s="180" t="n">
        <f aca="false">IF(ISNUMBER(Tracker!L320),Tracker!L320,IF(ISNUMBER(Tracker!K320),Tracker!K320,0))</f>
        <v>46478</v>
      </c>
      <c r="DU335" s="0" t="str">
        <f aca="false">Tracker!M320</f>
        <v>On Track</v>
      </c>
    </row>
    <row r="336" customFormat="false" ht="15" hidden="false" customHeight="false" outlineLevel="1" collapsed="false">
      <c r="A336" s="179" t="str">
        <f aca="false">Tracker!F321</f>
        <v>KM.119</v>
      </c>
      <c r="B336" s="179" t="str">
        <f aca="false">Tracker!G321</f>
        <v>Expo Fleet Event Operations Commence</v>
      </c>
      <c r="C336" s="179" t="str">
        <f aca="false">TRIM(Tracker!D321)</f>
        <v>Transport (TMO)</v>
      </c>
      <c r="D336" s="179" t="str">
        <f aca="false">IF(TRIM(Tracker!J321)="",Tracker!I321,Tracker!J321)</f>
        <v>Department Led</v>
      </c>
      <c r="E336" s="180" t="n">
        <f aca="false">IF(ISNUMBER(Tracker!K321),Tracker!K321,IF(ISNUMBER(Tracker!L321),Tracker!L321,0))</f>
        <v>46478</v>
      </c>
      <c r="F336" s="180" t="n">
        <f aca="false">IF(ISNUMBER(Tracker!L321),Tracker!L321,IF(ISNUMBER(Tracker!K321),Tracker!K321,0))</f>
        <v>46478</v>
      </c>
      <c r="DU336" s="0" t="str">
        <f aca="false">Tracker!M321</f>
        <v>On Track</v>
      </c>
    </row>
    <row r="337" customFormat="false" ht="15" hidden="false" customHeight="false" outlineLevel="1" collapsed="false">
      <c r="A337" s="179" t="str">
        <f aca="false">Tracker!F322</f>
        <v>KM.124</v>
      </c>
      <c r="B337" s="179" t="str">
        <f aca="false">Tracker!G322</f>
        <v>EXPO Site- Public Transport Fully Operational</v>
      </c>
      <c r="C337" s="179" t="str">
        <f aca="false">TRIM(Tracker!D322)</f>
        <v>Transport (TMO)</v>
      </c>
      <c r="D337" s="179" t="str">
        <f aca="false">IF(TRIM(Tracker!J322)="",Tracker!I322,Tracker!J322)</f>
        <v>Department Led</v>
      </c>
      <c r="E337" s="180" t="n">
        <f aca="false">IF(ISNUMBER(Tracker!K322),Tracker!K322,IF(ISNUMBER(Tracker!L322),Tracker!L322,0))</f>
        <v>46508</v>
      </c>
      <c r="F337" s="180" t="n">
        <f aca="false">IF(ISNUMBER(Tracker!L322),Tracker!L322,IF(ISNUMBER(Tracker!K322),Tracker!K322,0))</f>
        <v>46508</v>
      </c>
      <c r="DU337" s="0" t="str">
        <f aca="false">Tracker!M322</f>
        <v>No Update Received</v>
      </c>
    </row>
    <row r="338" customFormat="false" ht="15" hidden="false" customHeight="false" outlineLevel="1" collapsed="false">
      <c r="A338" s="179" t="str">
        <f aca="false">Tracker!F323</f>
        <v>KM.127</v>
      </c>
      <c r="B338" s="179" t="str">
        <f aca="false">Tracker!G323</f>
        <v>Transport Coordination Centre Fully Operational</v>
      </c>
      <c r="C338" s="179" t="str">
        <f aca="false">TRIM(Tracker!D323)</f>
        <v>Transport (TMO)</v>
      </c>
      <c r="D338" s="179" t="str">
        <f aca="false">IF(TRIM(Tracker!J323)="",Tracker!I323,Tracker!J323)</f>
        <v>Department Led</v>
      </c>
      <c r="E338" s="180" t="n">
        <f aca="false">IF(ISNUMBER(Tracker!K323),Tracker!K323,IF(ISNUMBER(Tracker!L323),Tracker!L323,0))</f>
        <v>46508</v>
      </c>
      <c r="F338" s="180" t="n">
        <f aca="false">IF(ISNUMBER(Tracker!L323),Tracker!L323,IF(ISNUMBER(Tracker!K323),Tracker!K323,0))</f>
        <v>46508</v>
      </c>
      <c r="DU338" s="0" t="str">
        <f aca="false">Tracker!M323</f>
        <v>No Update Received</v>
      </c>
    </row>
    <row r="339" customFormat="false" ht="15" hidden="false" customHeight="false" outlineLevel="1" collapsed="false">
      <c r="A339" s="179" t="str">
        <f aca="false">Tracker!F324</f>
        <v>KM.128</v>
      </c>
      <c r="B339" s="179" t="str">
        <f aca="false">Tracker!G324</f>
        <v>Parking Areas B, C, P Complete</v>
      </c>
      <c r="C339" s="179" t="str">
        <f aca="false">TRIM(Tracker!D324)</f>
        <v>Transport (TMO)</v>
      </c>
      <c r="D339" s="179" t="str">
        <f aca="false">IF(TRIM(Tracker!J324)="",Tracker!I324,Tracker!J324)</f>
        <v>Department Led</v>
      </c>
      <c r="E339" s="180" t="n">
        <f aca="false">IF(ISNUMBER(Tracker!K324),Tracker!K324,IF(ISNUMBER(Tracker!L324),Tracker!L324,0))</f>
        <v>46508</v>
      </c>
      <c r="F339" s="180" t="n">
        <f aca="false">IF(ISNUMBER(Tracker!L324),Tracker!L324,IF(ISNUMBER(Tracker!K324),Tracker!K324,0))</f>
        <v>46508</v>
      </c>
      <c r="DU339" s="0" t="str">
        <f aca="false">Tracker!M324</f>
        <v>On Track</v>
      </c>
    </row>
    <row r="340" customFormat="false" ht="15" hidden="false" customHeight="false" outlineLevel="1" collapsed="false">
      <c r="A340" s="179" t="str">
        <f aca="false">Tracker!F325</f>
        <v>KM.129</v>
      </c>
      <c r="B340" s="179" t="str">
        <f aca="false">Tracker!G325</f>
        <v>Micromobility Operations Commence</v>
      </c>
      <c r="C340" s="179" t="str">
        <f aca="false">TRIM(Tracker!D325)</f>
        <v>Transport (TMO)</v>
      </c>
      <c r="D340" s="179" t="str">
        <f aca="false">IF(TRIM(Tracker!J325)="",Tracker!I325,Tracker!J325)</f>
        <v>Department Led</v>
      </c>
      <c r="E340" s="180" t="n">
        <f aca="false">IF(ISNUMBER(Tracker!K325),Tracker!K325,IF(ISNUMBER(Tracker!L325),Tracker!L325,0))</f>
        <v>46508</v>
      </c>
      <c r="F340" s="180" t="n">
        <f aca="false">IF(ISNUMBER(Tracker!L325),Tracker!L325,IF(ISNUMBER(Tracker!K325),Tracker!K325,0))</f>
        <v>46508</v>
      </c>
      <c r="DU340" s="0" t="str">
        <f aca="false">Tracker!M325</f>
        <v>On Track</v>
      </c>
    </row>
    <row r="341" customFormat="false" ht="15" hidden="false" customHeight="false" outlineLevel="1" collapsed="false">
      <c r="A341" s="179" t="str">
        <f aca="false">Tracker!F326</f>
        <v>KM.130</v>
      </c>
      <c r="B341" s="179" t="str">
        <f aca="false">Tracker!G326</f>
        <v>School Bus Transport Operations Commence</v>
      </c>
      <c r="C341" s="179" t="str">
        <f aca="false">TRIM(Tracker!D326)</f>
        <v>Transport (TMO)</v>
      </c>
      <c r="D341" s="179" t="str">
        <f aca="false">IF(TRIM(Tracker!J326)="",Tracker!I326,Tracker!J326)</f>
        <v>Department Led</v>
      </c>
      <c r="E341" s="180" t="n">
        <f aca="false">IF(ISNUMBER(Tracker!K326),Tracker!K326,IF(ISNUMBER(Tracker!L326),Tracker!L326,0))</f>
        <v>46508</v>
      </c>
      <c r="F341" s="180" t="n">
        <f aca="false">IF(ISNUMBER(Tracker!L326),Tracker!L326,IF(ISNUMBER(Tracker!K326),Tracker!K326,0))</f>
        <v>46508</v>
      </c>
      <c r="DU341" s="0" t="str">
        <f aca="false">Tracker!M326</f>
        <v>On Track</v>
      </c>
    </row>
    <row r="342" customFormat="false" ht="15" hidden="false" customHeight="false" outlineLevel="1" collapsed="false">
      <c r="A342" s="179" t="str">
        <f aca="false">Tracker!F327</f>
        <v>KM.131</v>
      </c>
      <c r="B342" s="179" t="str">
        <f aca="false">Tracker!G327</f>
        <v>Phase III Public Bus Transport Plan Complete</v>
      </c>
      <c r="C342" s="179" t="str">
        <f aca="false">TRIM(Tracker!D327)</f>
        <v>Transport (TMO)</v>
      </c>
      <c r="D342" s="179" t="str">
        <f aca="false">IF(TRIM(Tracker!J327)="",Tracker!I327,Tracker!J327)</f>
        <v>Department Led</v>
      </c>
      <c r="E342" s="180" t="n">
        <f aca="false">IF(ISNUMBER(Tracker!K327),Tracker!K327,IF(ISNUMBER(Tracker!L327),Tracker!L327,0))</f>
        <v>46508</v>
      </c>
      <c r="F342" s="180" t="n">
        <f aca="false">IF(ISNUMBER(Tracker!L327),Tracker!L327,IF(ISNUMBER(Tracker!K327),Tracker!K327,0))</f>
        <v>46508</v>
      </c>
      <c r="DU342" s="0" t="str">
        <f aca="false">Tracker!M327</f>
        <v>On Track</v>
      </c>
    </row>
    <row r="343" customFormat="false" ht="15" hidden="false" customHeight="false" outlineLevel="1" collapsed="false">
      <c r="A343" s="179" t="str">
        <f aca="false">Tracker!F328</f>
        <v>NEW</v>
      </c>
      <c r="B343" s="179" t="str">
        <f aca="false">Tracker!G328</f>
        <v>Parking Management Plan Approved</v>
      </c>
      <c r="C343" s="179" t="str">
        <f aca="false">TRIM(Tracker!D328)</f>
        <v>Transport (TMO)</v>
      </c>
      <c r="D343" s="179" t="str">
        <f aca="false">IF(TRIM(Tracker!J328)="",Tracker!I328,Tracker!J328)</f>
        <v>Department Led</v>
      </c>
      <c r="E343" s="180" t="n">
        <f aca="false">IF(ISNUMBER(Tracker!K328),Tracker!K328,IF(ISNUMBER(Tracker!L328),Tracker!L328,0))</f>
        <v>46296</v>
      </c>
      <c r="F343" s="180" t="n">
        <f aca="false">IF(ISNUMBER(Tracker!L328),Tracker!L328,IF(ISNUMBER(Tracker!K328),Tracker!K328,0))</f>
        <v>46296</v>
      </c>
      <c r="DU343" s="0" t="str">
        <f aca="false">Tracker!M328</f>
        <v>Not Started</v>
      </c>
    </row>
    <row r="344" customFormat="false" ht="15" hidden="false" customHeight="false" outlineLevel="1" collapsed="false">
      <c r="A344" s="179" t="str">
        <f aca="false">Tracker!F329</f>
        <v>CM.TMO.01</v>
      </c>
      <c r="B344" s="179" t="str">
        <f aca="false">Tracker!G329</f>
        <v> Transport Strategies &amp; Operational Plans</v>
      </c>
      <c r="C344" s="179" t="str">
        <f aca="false">TRIM(Tracker!D329)</f>
        <v>Transport (TMO)</v>
      </c>
      <c r="D344" s="179" t="str">
        <f aca="false">IF(TRIM(Tracker!J329)="",Tracker!I329,Tracker!J329)</f>
        <v>S21</v>
      </c>
      <c r="E344" s="180" t="n">
        <f aca="false">IF(ISNUMBER(Tracker!K329),Tracker!K329,IF(ISNUMBER(Tracker!L329),Tracker!L329,0))</f>
        <v>0</v>
      </c>
      <c r="F344" s="180" t="n">
        <f aca="false">IF(ISNUMBER(Tracker!L329),Tracker!L329,IF(ISNUMBER(Tracker!K329),Tracker!K329,0))</f>
        <v>0</v>
      </c>
      <c r="DU344" s="0" t="str">
        <f aca="false">Tracker!M329</f>
        <v>TBC if this is applicable </v>
      </c>
    </row>
    <row r="345" customFormat="false" ht="15" hidden="false" customHeight="false" outlineLevel="1" collapsed="false">
      <c r="A345" s="179" t="str">
        <f aca="false">Tracker!F330</f>
        <v>CM.TMO.01.1</v>
      </c>
      <c r="B345" s="179" t="str">
        <f aca="false">Tracker!G330</f>
        <v>DOP V1</v>
      </c>
      <c r="C345" s="179" t="str">
        <f aca="false">TRIM(Tracker!D330)</f>
        <v>Transport (TMO)</v>
      </c>
      <c r="D345" s="179" t="str">
        <f aca="false">IF(TRIM(Tracker!J330)="",Tracker!I330,Tracker!J330)</f>
        <v>Vijay</v>
      </c>
      <c r="E345" s="180" t="n">
        <f aca="false">IF(ISNUMBER(Tracker!K330),Tracker!K330,IF(ISNUMBER(Tracker!L330),Tracker!L330,0))</f>
        <v>46225</v>
      </c>
      <c r="F345" s="180" t="n">
        <f aca="false">IF(ISNUMBER(Tracker!L330),Tracker!L330,IF(ISNUMBER(Tracker!K330),Tracker!K330,0))</f>
        <v>46225</v>
      </c>
      <c r="DU345" s="0" t="str">
        <f aca="false">Tracker!M330</f>
        <v>Complete</v>
      </c>
    </row>
    <row r="346" customFormat="false" ht="15" hidden="false" customHeight="false" outlineLevel="1" collapsed="false">
      <c r="A346" s="179" t="str">
        <f aca="false">Tracker!F331</f>
        <v>CM.TMO.02</v>
      </c>
      <c r="B346" s="179" t="str">
        <f aca="false">Tracker!G331</f>
        <v>Transport Capacity, Traffic &amp; Access Planning</v>
      </c>
      <c r="C346" s="179" t="str">
        <f aca="false">TRIM(Tracker!D331)</f>
        <v>Transport (TMO)</v>
      </c>
      <c r="D346" s="179" t="str">
        <f aca="false">IF(TRIM(Tracker!J331)="",Tracker!I331,Tracker!J331)</f>
        <v>S21</v>
      </c>
      <c r="E346" s="180" t="n">
        <f aca="false">IF(ISNUMBER(Tracker!K331),Tracker!K331,IF(ISNUMBER(Tracker!L331),Tracker!L331,0))</f>
        <v>0</v>
      </c>
      <c r="F346" s="180" t="n">
        <f aca="false">IF(ISNUMBER(Tracker!L331),Tracker!L331,IF(ISNUMBER(Tracker!K331),Tracker!K331,0))</f>
        <v>0</v>
      </c>
      <c r="DU346" s="0" t="str">
        <f aca="false">Tracker!M331</f>
        <v>TBC if this is applicable </v>
      </c>
    </row>
    <row r="347" customFormat="false" ht="15" hidden="false" customHeight="false" outlineLevel="1" collapsed="false">
      <c r="A347" s="179" t="str">
        <f aca="false">Tracker!F332</f>
        <v>CM.TMO.03</v>
      </c>
      <c r="B347" s="179" t="str">
        <f aca="false">Tracker!G332</f>
        <v>Multi-Modal Transport Integration</v>
      </c>
      <c r="C347" s="179" t="str">
        <f aca="false">TRIM(Tracker!D332)</f>
        <v>Transport (TMO)</v>
      </c>
      <c r="D347" s="179" t="str">
        <f aca="false">IF(TRIM(Tracker!J332)="",Tracker!I332,Tracker!J332)</f>
        <v>S21</v>
      </c>
      <c r="E347" s="180" t="n">
        <f aca="false">IF(ISNUMBER(Tracker!K332),Tracker!K332,IF(ISNUMBER(Tracker!L332),Tracker!L332,0))</f>
        <v>0</v>
      </c>
      <c r="F347" s="180" t="n">
        <f aca="false">IF(ISNUMBER(Tracker!L332),Tracker!L332,IF(ISNUMBER(Tracker!K332),Tracker!K332,0))</f>
        <v>0</v>
      </c>
      <c r="DU347" s="0" t="str">
        <f aca="false">Tracker!M332</f>
        <v>TBC if this is applicable </v>
      </c>
    </row>
    <row r="348" customFormat="false" ht="15" hidden="false" customHeight="false" outlineLevel="1" collapsed="false">
      <c r="A348" s="179" t="str">
        <f aca="false">Tracker!F333</f>
        <v>CM.TMO.04</v>
      </c>
      <c r="B348" s="179" t="str">
        <f aca="false">Tracker!G333</f>
        <v>Fleet &amp; Mobility Operations Planning</v>
      </c>
      <c r="C348" s="179" t="str">
        <f aca="false">TRIM(Tracker!D333)</f>
        <v>Transport (TMO)</v>
      </c>
      <c r="D348" s="179" t="str">
        <f aca="false">IF(TRIM(Tracker!J333)="",Tracker!I333,Tracker!J333)</f>
        <v>S21</v>
      </c>
      <c r="E348" s="180" t="n">
        <f aca="false">IF(ISNUMBER(Tracker!K333),Tracker!K333,IF(ISNUMBER(Tracker!L333),Tracker!L333,0))</f>
        <v>0</v>
      </c>
      <c r="F348" s="180" t="n">
        <f aca="false">IF(ISNUMBER(Tracker!L333),Tracker!L333,IF(ISNUMBER(Tracker!K333),Tracker!K333,0))</f>
        <v>0</v>
      </c>
      <c r="DU348" s="0" t="str">
        <f aca="false">Tracker!M333</f>
        <v>TBC if this is applicable </v>
      </c>
    </row>
    <row r="349" customFormat="false" ht="15" hidden="false" customHeight="false" outlineLevel="1" collapsed="false">
      <c r="A349" s="179" t="str">
        <f aca="false">Tracker!F334</f>
        <v>CM.TMO.05</v>
      </c>
      <c r="B349" s="179" t="str">
        <f aca="false">Tracker!G334</f>
        <v>Transport Systems Implementation</v>
      </c>
      <c r="C349" s="179" t="str">
        <f aca="false">TRIM(Tracker!D334)</f>
        <v>Transport (TMO)</v>
      </c>
      <c r="D349" s="179" t="str">
        <f aca="false">IF(TRIM(Tracker!J334)="",Tracker!I334,Tracker!J334)</f>
        <v>S21</v>
      </c>
      <c r="E349" s="180" t="n">
        <f aca="false">IF(ISNUMBER(Tracker!K334),Tracker!K334,IF(ISNUMBER(Tracker!L334),Tracker!L334,0))</f>
        <v>0</v>
      </c>
      <c r="F349" s="180" t="n">
        <f aca="false">IF(ISNUMBER(Tracker!L334),Tracker!L334,IF(ISNUMBER(Tracker!K334),Tracker!K334,0))</f>
        <v>0</v>
      </c>
      <c r="DU349" s="0" t="str">
        <f aca="false">Tracker!M334</f>
        <v>TBC if this is applicable </v>
      </c>
    </row>
    <row r="350" customFormat="false" ht="15" hidden="false" customHeight="false" outlineLevel="1" collapsed="false">
      <c r="A350" s="179" t="str">
        <f aca="false">Tracker!F335</f>
        <v>CM.TMO.06</v>
      </c>
      <c r="B350" s="179" t="str">
        <f aca="false">Tracker!G335</f>
        <v>Micromobility &amp; Last-Mile Strategy Review</v>
      </c>
      <c r="C350" s="179" t="str">
        <f aca="false">TRIM(Tracker!D335)</f>
        <v>Transport (TMO)</v>
      </c>
      <c r="D350" s="179" t="str">
        <f aca="false">IF(TRIM(Tracker!J335)="",Tracker!I335,Tracker!J335)</f>
        <v>S21</v>
      </c>
      <c r="E350" s="180" t="n">
        <f aca="false">IF(ISNUMBER(Tracker!K335),Tracker!K335,IF(ISNUMBER(Tracker!L335),Tracker!L335,0))</f>
        <v>0</v>
      </c>
      <c r="F350" s="180" t="n">
        <f aca="false">IF(ISNUMBER(Tracker!L335),Tracker!L335,IF(ISNUMBER(Tracker!K335),Tracker!K335,0))</f>
        <v>0</v>
      </c>
      <c r="DU350" s="0" t="str">
        <f aca="false">Tracker!M335</f>
        <v>TBC if this is applicable </v>
      </c>
    </row>
    <row r="351" customFormat="false" ht="15" hidden="false" customHeight="false" outlineLevel="1" collapsed="false">
      <c r="A351" s="179" t="str">
        <f aca="false">Tracker!F336</f>
        <v>CM.TMO.07</v>
      </c>
      <c r="B351" s="179" t="str">
        <f aca="false">Tracker!G336</f>
        <v>Conduct Transport Readiness Reviews &amp; Exercises</v>
      </c>
      <c r="C351" s="179" t="str">
        <f aca="false">TRIM(Tracker!D336)</f>
        <v>Transport (TMO)</v>
      </c>
      <c r="D351" s="179" t="str">
        <f aca="false">IF(TRIM(Tracker!J336)="",Tracker!I336,Tracker!J336)</f>
        <v>S21</v>
      </c>
      <c r="E351" s="180" t="n">
        <f aca="false">IF(ISNUMBER(Tracker!K336),Tracker!K336,IF(ISNUMBER(Tracker!L336),Tracker!L336,0))</f>
        <v>0</v>
      </c>
      <c r="F351" s="180" t="n">
        <f aca="false">IF(ISNUMBER(Tracker!L336),Tracker!L336,IF(ISNUMBER(Tracker!K336),Tracker!K336,0))</f>
        <v>0</v>
      </c>
      <c r="DU351" s="0" t="str">
        <f aca="false">Tracker!M336</f>
        <v>TBC if this is applicable </v>
      </c>
    </row>
    <row r="352" customFormat="false" ht="15.75" hidden="false" customHeight="true" outlineLevel="0" collapsed="false">
      <c r="A352" s="175"/>
      <c r="B352" s="176" t="s">
        <v>1077</v>
      </c>
      <c r="C352" s="176" t="s">
        <v>1077</v>
      </c>
      <c r="D352" s="175"/>
      <c r="E352" s="177" t="n">
        <f aca="false">IFERROR(_xlfn.MINIFS(E353:E389,E353:E389,"&gt;0"),0)</f>
        <v>46217</v>
      </c>
      <c r="F352" s="177" t="n">
        <f aca="false">IFERROR(_xlfn.MAXIFS(F353:F389,F353:F389,"&gt;0"),0)</f>
        <v>46447</v>
      </c>
      <c r="DU352" s="178" t="s">
        <v>1357</v>
      </c>
    </row>
    <row r="353" customFormat="false" ht="15" hidden="false" customHeight="false" outlineLevel="1" collapsed="false">
      <c r="A353" s="179" t="str">
        <f aca="false">Tracker!F337</f>
        <v>KM.112</v>
      </c>
      <c r="B353" s="179" t="str">
        <f aca="false">Tracker!G337</f>
        <v>All Expo Owned Venues Operational Readiness Complete</v>
      </c>
      <c r="C353" s="179" t="str">
        <f aca="false">TRIM(Tracker!D337)</f>
        <v>Venue Management (VMG)</v>
      </c>
      <c r="D353" s="179" t="str">
        <f aca="false">IF(TRIM(Tracker!J337)="",Tracker!I337,Tracker!J337)</f>
        <v>Ilkin</v>
      </c>
      <c r="E353" s="180" t="n">
        <f aca="false">IF(ISNUMBER(Tracker!K337),Tracker!K337,IF(ISNUMBER(Tracker!L337),Tracker!L337,0))</f>
        <v>46447</v>
      </c>
      <c r="F353" s="180" t="n">
        <f aca="false">IF(ISNUMBER(Tracker!L337),Tracker!L337,IF(ISNUMBER(Tracker!K337),Tracker!K337,0))</f>
        <v>46447</v>
      </c>
      <c r="DU353" s="0" t="str">
        <f aca="false">Tracker!M337</f>
        <v>On Track</v>
      </c>
    </row>
    <row r="354" customFormat="false" ht="15" hidden="false" customHeight="false" outlineLevel="1" collapsed="false">
      <c r="A354" s="179" t="str">
        <f aca="false">Tracker!F338</f>
        <v>KM.113</v>
      </c>
      <c r="B354" s="179" t="str">
        <f aca="false">Tracker!G338</f>
        <v>All Venues Operational Guidelines Published</v>
      </c>
      <c r="C354" s="179" t="str">
        <f aca="false">TRIM(Tracker!D338)</f>
        <v>Venue Management (VMG)</v>
      </c>
      <c r="D354" s="179" t="str">
        <f aca="false">IF(TRIM(Tracker!J338)="",Tracker!I338,Tracker!J338)</f>
        <v>Ilkin</v>
      </c>
      <c r="E354" s="180" t="n">
        <f aca="false">IF(ISNUMBER(Tracker!K338),Tracker!K338,IF(ISNUMBER(Tracker!L338),Tracker!L338,0))</f>
        <v>46447</v>
      </c>
      <c r="F354" s="180" t="n">
        <f aca="false">IF(ISNUMBER(Tracker!L338),Tracker!L338,IF(ISNUMBER(Tracker!K338),Tracker!K338,0))</f>
        <v>46447</v>
      </c>
      <c r="DU354" s="0" t="str">
        <f aca="false">Tracker!M338</f>
        <v>On Track</v>
      </c>
    </row>
    <row r="355" customFormat="false" ht="15" hidden="false" customHeight="false" outlineLevel="1" collapsed="false">
      <c r="A355" s="179" t="str">
        <f aca="false">Tracker!F339</f>
        <v>KM.114</v>
      </c>
      <c r="B355" s="179" t="str">
        <f aca="false">Tracker!G339</f>
        <v>Integrated And Functional Management Of Event Spaces On The Expo Site Activated</v>
      </c>
      <c r="C355" s="179" t="str">
        <f aca="false">TRIM(Tracker!D339)</f>
        <v>Venue Management (VMG)</v>
      </c>
      <c r="D355" s="179" t="str">
        <f aca="false">IF(TRIM(Tracker!J339)="",Tracker!I339,Tracker!J339)</f>
        <v>Ilkin</v>
      </c>
      <c r="E355" s="180" t="n">
        <f aca="false">IF(ISNUMBER(Tracker!K339),Tracker!K339,IF(ISNUMBER(Tracker!L339),Tracker!L339,0))</f>
        <v>46447</v>
      </c>
      <c r="F355" s="180" t="n">
        <f aca="false">IF(ISNUMBER(Tracker!L339),Tracker!L339,IF(ISNUMBER(Tracker!K339),Tracker!K339,0))</f>
        <v>46447</v>
      </c>
      <c r="DU355" s="0" t="str">
        <f aca="false">Tracker!M339</f>
        <v>On Track</v>
      </c>
    </row>
    <row r="356" customFormat="false" ht="15" hidden="false" customHeight="false" outlineLevel="1" collapsed="false">
      <c r="A356" s="179" t="str">
        <f aca="false">Tracker!F340</f>
        <v>KM.136</v>
      </c>
      <c r="B356" s="179" t="str">
        <f aca="false">Tracker!G340</f>
        <v>VMG Work Structure Approved And On Site</v>
      </c>
      <c r="C356" s="179" t="str">
        <f aca="false">TRIM(Tracker!D340)</f>
        <v>Venue Management (VMG)</v>
      </c>
      <c r="D356" s="179" t="str">
        <f aca="false">IF(TRIM(Tracker!J340)="",Tracker!I340,Tracker!J340)</f>
        <v>Ilkin</v>
      </c>
      <c r="E356" s="180" t="n">
        <f aca="false">IF(ISNUMBER(Tracker!K340),Tracker!K340,IF(ISNUMBER(Tracker!L340),Tracker!L340,0))</f>
        <v>0</v>
      </c>
      <c r="F356" s="180" t="n">
        <f aca="false">IF(ISNUMBER(Tracker!L340),Tracker!L340,IF(ISNUMBER(Tracker!K340),Tracker!K340,0))</f>
        <v>0</v>
      </c>
      <c r="DU356" s="0" t="str">
        <f aca="false">Tracker!M340</f>
        <v>No Update Received</v>
      </c>
    </row>
    <row r="357" customFormat="false" ht="15" hidden="false" customHeight="false" outlineLevel="1" collapsed="false">
      <c r="A357" s="179" t="str">
        <f aca="false">Tracker!F341</f>
        <v>KM.149</v>
      </c>
      <c r="B357" s="179" t="str">
        <f aca="false">Tracker!G341</f>
        <v>All Operating Plans Published</v>
      </c>
      <c r="C357" s="179" t="str">
        <f aca="false">TRIM(Tracker!D341)</f>
        <v>Venue Management (VMG)</v>
      </c>
      <c r="D357" s="179" t="str">
        <f aca="false">IF(TRIM(Tracker!J341)="",Tracker!I341,Tracker!J341)</f>
        <v>Ilkin</v>
      </c>
      <c r="E357" s="180" t="n">
        <f aca="false">IF(ISNUMBER(Tracker!K341),Tracker!K341,IF(ISNUMBER(Tracker!L341),Tracker!L341,0))</f>
        <v>46357</v>
      </c>
      <c r="F357" s="180" t="n">
        <f aca="false">IF(ISNUMBER(Tracker!L341),Tracker!L341,IF(ISNUMBER(Tracker!K341),Tracker!K341,0))</f>
        <v>46357</v>
      </c>
      <c r="DU357" s="0" t="str">
        <f aca="false">Tracker!M341</f>
        <v>On Track</v>
      </c>
    </row>
    <row r="358" customFormat="false" ht="15" hidden="false" customHeight="false" outlineLevel="1" collapsed="false">
      <c r="A358" s="179" t="str">
        <f aca="false">Tracker!F342</f>
        <v>VMG-S03.2</v>
      </c>
      <c r="B358" s="179" t="str">
        <f aca="false">Tracker!G342</f>
        <v>Incident Location Identification</v>
      </c>
      <c r="C358" s="179" t="str">
        <f aca="false">TRIM(Tracker!D342)</f>
        <v>Venue Management (VMG)</v>
      </c>
      <c r="D358" s="179" t="str">
        <f aca="false">IF(TRIM(Tracker!J342)="",Tracker!I342,Tracker!J342)</f>
        <v>Ilkin</v>
      </c>
      <c r="E358" s="180" t="n">
        <f aca="false">IF(ISNUMBER(Tracker!K342),Tracker!K342,IF(ISNUMBER(Tracker!L342),Tracker!L342,0))</f>
        <v>0</v>
      </c>
      <c r="F358" s="180" t="n">
        <f aca="false">IF(ISNUMBER(Tracker!L342),Tracker!L342,IF(ISNUMBER(Tracker!K342),Tracker!K342,0))</f>
        <v>0</v>
      </c>
      <c r="DU358" s="0" t="str">
        <f aca="false">Tracker!M342</f>
        <v>At Risk</v>
      </c>
    </row>
    <row r="359" customFormat="false" ht="15" hidden="false" customHeight="false" outlineLevel="1" collapsed="false">
      <c r="A359" s="179" t="str">
        <f aca="false">Tracker!F343</f>
        <v>NEW</v>
      </c>
      <c r="B359" s="179" t="str">
        <f aca="false">Tracker!G343</f>
        <v>Expo Operations Centre (EOC) Delivered</v>
      </c>
      <c r="C359" s="179" t="str">
        <f aca="false">TRIM(Tracker!D343)</f>
        <v>Venue Management (VMG)</v>
      </c>
      <c r="D359" s="179" t="str">
        <f aca="false">IF(TRIM(Tracker!J343)="",Tracker!I343,Tracker!J343)</f>
        <v>Ilkin</v>
      </c>
      <c r="E359" s="180" t="n">
        <f aca="false">IF(ISNUMBER(Tracker!K343),Tracker!K343,IF(ISNUMBER(Tracker!L343),Tracker!L343,0))</f>
        <v>46357</v>
      </c>
      <c r="F359" s="180" t="n">
        <f aca="false">IF(ISNUMBER(Tracker!L343),Tracker!L343,IF(ISNUMBER(Tracker!K343),Tracker!K343,0))</f>
        <v>46357</v>
      </c>
      <c r="DU359" s="0" t="str">
        <f aca="false">Tracker!M343</f>
        <v>Not Started</v>
      </c>
    </row>
    <row r="360" customFormat="false" ht="15" hidden="false" customHeight="false" outlineLevel="1" collapsed="false">
      <c r="A360" s="179" t="str">
        <f aca="false">Tracker!F344</f>
        <v>NEW</v>
      </c>
      <c r="B360" s="179" t="str">
        <f aca="false">Tracker!G344</f>
        <v>Incident Management Platform Live</v>
      </c>
      <c r="C360" s="179" t="str">
        <f aca="false">TRIM(Tracker!D344)</f>
        <v>Venue Management (VMG)</v>
      </c>
      <c r="D360" s="179" t="str">
        <f aca="false">IF(TRIM(Tracker!J344)="",Tracker!I344,Tracker!J344)</f>
        <v>Ilkin</v>
      </c>
      <c r="E360" s="180" t="n">
        <f aca="false">IF(ISNUMBER(Tracker!K344),Tracker!K344,IF(ISNUMBER(Tracker!L344),Tracker!L344,0))</f>
        <v>46402</v>
      </c>
      <c r="F360" s="180" t="n">
        <f aca="false">IF(ISNUMBER(Tracker!L344),Tracker!L344,IF(ISNUMBER(Tracker!K344),Tracker!K344,0))</f>
        <v>46402</v>
      </c>
      <c r="DU360" s="0" t="str">
        <f aca="false">Tracker!M344</f>
        <v>Not Started</v>
      </c>
    </row>
    <row r="361" customFormat="false" ht="15" hidden="false" customHeight="false" outlineLevel="1" collapsed="false">
      <c r="A361" s="179" t="str">
        <f aca="false">Tracker!F345</f>
        <v>NEW</v>
      </c>
      <c r="B361" s="179" t="str">
        <f aca="false">Tracker!G345</f>
        <v>Sound, Vision &amp; Lighting Plan Approved</v>
      </c>
      <c r="C361" s="179" t="str">
        <f aca="false">TRIM(Tracker!D345)</f>
        <v>Venue Management (VMG)</v>
      </c>
      <c r="D361" s="179" t="str">
        <f aca="false">IF(TRIM(Tracker!J345)="",Tracker!I345,Tracker!J345)</f>
        <v>Ilkin</v>
      </c>
      <c r="E361" s="180" t="n">
        <f aca="false">IF(ISNUMBER(Tracker!K345),Tracker!K345,IF(ISNUMBER(Tracker!L345),Tracker!L345,0))</f>
        <v>46341</v>
      </c>
      <c r="F361" s="180" t="n">
        <f aca="false">IF(ISNUMBER(Tracker!L345),Tracker!L345,IF(ISNUMBER(Tracker!K345),Tracker!K345,0))</f>
        <v>46341</v>
      </c>
      <c r="DU361" s="0" t="str">
        <f aca="false">Tracker!M345</f>
        <v>Not Started</v>
      </c>
    </row>
    <row r="362" customFormat="false" ht="15" hidden="false" customHeight="false" outlineLevel="1" collapsed="false">
      <c r="A362" s="179" t="str">
        <f aca="false">Tracker!F346</f>
        <v>NEW</v>
      </c>
      <c r="B362" s="179" t="str">
        <f aca="false">Tracker!G346</f>
        <v>Daily Command &amp; Control Rhythm Established</v>
      </c>
      <c r="C362" s="179" t="str">
        <f aca="false">TRIM(Tracker!D346)</f>
        <v>Venue Management (VMG)</v>
      </c>
      <c r="D362" s="179" t="str">
        <f aca="false">IF(TRIM(Tracker!J346)="",Tracker!I346,Tracker!J346)</f>
        <v>Ilkin</v>
      </c>
      <c r="E362" s="180" t="n">
        <f aca="false">IF(ISNUMBER(Tracker!K346),Tracker!K346,IF(ISNUMBER(Tracker!L346),Tracker!L346,0))</f>
        <v>46419</v>
      </c>
      <c r="F362" s="180" t="n">
        <f aca="false">IF(ISNUMBER(Tracker!L346),Tracker!L346,IF(ISNUMBER(Tracker!K346),Tracker!K346,0))</f>
        <v>46419</v>
      </c>
      <c r="DU362" s="0" t="str">
        <f aca="false">Tracker!M346</f>
        <v>Not Started</v>
      </c>
    </row>
    <row r="363" customFormat="false" ht="15" hidden="false" customHeight="false" outlineLevel="1" collapsed="false">
      <c r="A363" s="179" t="str">
        <f aca="false">Tracker!F347</f>
        <v>NEW</v>
      </c>
      <c r="B363" s="179" t="str">
        <f aca="false">Tracker!G347</f>
        <v>Venuisation &amp; Space Handover Complete</v>
      </c>
      <c r="C363" s="179" t="str">
        <f aca="false">TRIM(Tracker!D347)</f>
        <v>Venue Management (VMG)</v>
      </c>
      <c r="D363" s="179" t="str">
        <f aca="false">IF(TRIM(Tracker!J347)="",Tracker!I347,Tracker!J347)</f>
        <v>Ilkin</v>
      </c>
      <c r="E363" s="180" t="n">
        <f aca="false">IF(ISNUMBER(Tracker!K347),Tracker!K347,IF(ISNUMBER(Tracker!L347),Tracker!L347,0))</f>
        <v>46447</v>
      </c>
      <c r="F363" s="180" t="n">
        <f aca="false">IF(ISNUMBER(Tracker!L347),Tracker!L347,IF(ISNUMBER(Tracker!K347),Tracker!K347,0))</f>
        <v>46447</v>
      </c>
      <c r="DU363" s="0" t="str">
        <f aca="false">Tracker!M347</f>
        <v>Not Started</v>
      </c>
    </row>
    <row r="364" customFormat="false" ht="15" hidden="false" customHeight="false" outlineLevel="1" collapsed="false">
      <c r="A364" s="179" t="str">
        <f aca="false">Tracker!F348</f>
        <v>NEW</v>
      </c>
      <c r="B364" s="179" t="str">
        <f aca="false">Tracker!G348</f>
        <v>Zone-Specific Teams Established</v>
      </c>
      <c r="C364" s="179" t="str">
        <f aca="false">TRIM(Tracker!D348)</f>
        <v>Venue Management (VMG)</v>
      </c>
      <c r="D364" s="179" t="str">
        <f aca="false">IF(TRIM(Tracker!J348)="",Tracker!I348,Tracker!J348)</f>
        <v>Ilkin</v>
      </c>
      <c r="E364" s="180" t="n">
        <f aca="false">IF(ISNUMBER(Tracker!K348),Tracker!K348,IF(ISNUMBER(Tracker!L348),Tracker!L348,0))</f>
        <v>46327</v>
      </c>
      <c r="F364" s="180" t="n">
        <f aca="false">IF(ISNUMBER(Tracker!L348),Tracker!L348,IF(ISNUMBER(Tracker!K348),Tracker!K348,0))</f>
        <v>46327</v>
      </c>
      <c r="DU364" s="0" t="str">
        <f aca="false">Tracker!M348</f>
        <v>Not Started</v>
      </c>
    </row>
    <row r="365" customFormat="false" ht="15" hidden="false" customHeight="false" outlineLevel="1" collapsed="false">
      <c r="A365" s="179" t="str">
        <f aca="false">Tracker!F349</f>
        <v>NEW</v>
      </c>
      <c r="B365" s="179" t="str">
        <f aca="false">Tracker!G349</f>
        <v>Incident Management &amp; Escalation Framework Approved</v>
      </c>
      <c r="C365" s="179" t="str">
        <f aca="false">TRIM(Tracker!D349)</f>
        <v>Venue Management (VMG)</v>
      </c>
      <c r="D365" s="179" t="str">
        <f aca="false">IF(TRIM(Tracker!J349)="",Tracker!I349,Tracker!J349)</f>
        <v>Ilkin</v>
      </c>
      <c r="E365" s="180" t="n">
        <f aca="false">IF(ISNUMBER(Tracker!K349),Tracker!K349,IF(ISNUMBER(Tracker!L349),Tracker!L349,0))</f>
        <v>46341</v>
      </c>
      <c r="F365" s="180" t="n">
        <f aca="false">IF(ISNUMBER(Tracker!L349),Tracker!L349,IF(ISNUMBER(Tracker!K349),Tracker!K349,0))</f>
        <v>46341</v>
      </c>
      <c r="DU365" s="0" t="str">
        <f aca="false">Tracker!M349</f>
        <v>Not Started</v>
      </c>
    </row>
    <row r="366" customFormat="false" ht="15" hidden="false" customHeight="false" outlineLevel="1" collapsed="false">
      <c r="A366" s="179" t="str">
        <f aca="false">Tracker!F350</f>
        <v>CM.VMG.01</v>
      </c>
      <c r="B366" s="179" t="str">
        <f aca="false">Tracker!G350</f>
        <v>Venue Readiness &amp; Operational Integration</v>
      </c>
      <c r="C366" s="179" t="str">
        <f aca="false">TRIM(Tracker!D350)</f>
        <v>Venue Management (VMG)</v>
      </c>
      <c r="D366" s="179" t="str">
        <f aca="false">IF(TRIM(Tracker!J350)="",Tracker!I350,Tracker!J350)</f>
        <v>Ilkin</v>
      </c>
      <c r="E366" s="180" t="n">
        <f aca="false">IF(ISNUMBER(Tracker!K350),Tracker!K350,IF(ISNUMBER(Tracker!L350),Tracker!L350,0))</f>
        <v>46234</v>
      </c>
      <c r="F366" s="180" t="n">
        <f aca="false">IF(ISNUMBER(Tracker!L350),Tracker!L350,IF(ISNUMBER(Tracker!K350),Tracker!K350,0))</f>
        <v>46234</v>
      </c>
      <c r="DU366" s="0" t="str">
        <f aca="false">Tracker!M350</f>
        <v>On Track</v>
      </c>
    </row>
    <row r="367" customFormat="false" ht="15" hidden="false" customHeight="false" outlineLevel="1" collapsed="false">
      <c r="A367" s="179" t="str">
        <f aca="false">Tracker!F351</f>
        <v>CM.VMG.01.1</v>
      </c>
      <c r="B367" s="179" t="str">
        <f aca="false">Tracker!G351</f>
        <v>Support MZE Session 1</v>
      </c>
      <c r="C367" s="179" t="str">
        <f aca="false">TRIM(Tracker!D351)</f>
        <v>Venue Management (VMG)</v>
      </c>
      <c r="D367" s="179" t="str">
        <f aca="false">IF(TRIM(Tracker!J351)="",Tracker!I351,Tracker!J351)</f>
        <v>Ilkin</v>
      </c>
      <c r="E367" s="180" t="n">
        <f aca="false">IF(ISNUMBER(Tracker!K351),Tracker!K351,IF(ISNUMBER(Tracker!L351),Tracker!L351,0))</f>
        <v>46217</v>
      </c>
      <c r="F367" s="180" t="n">
        <f aca="false">IF(ISNUMBER(Tracker!L351),Tracker!L351,IF(ISNUMBER(Tracker!K351),Tracker!K351,0))</f>
        <v>46217</v>
      </c>
      <c r="DU367" s="0" t="str">
        <f aca="false">Tracker!M351</f>
        <v>Complete</v>
      </c>
    </row>
    <row r="368" customFormat="false" ht="15" hidden="false" customHeight="false" outlineLevel="1" collapsed="false">
      <c r="A368" s="179" t="str">
        <f aca="false">Tracker!F352</f>
        <v>CM.VMG.01.2</v>
      </c>
      <c r="B368" s="179" t="str">
        <f aca="false">Tracker!G352</f>
        <v>Support MZE Session 2</v>
      </c>
      <c r="C368" s="179" t="str">
        <f aca="false">TRIM(Tracker!D352)</f>
        <v>Venue Management (VMG)</v>
      </c>
      <c r="D368" s="179" t="str">
        <f aca="false">IF(TRIM(Tracker!J352)="",Tracker!I352,Tracker!J352)</f>
        <v>Ilkin</v>
      </c>
      <c r="E368" s="180" t="n">
        <f aca="false">IF(ISNUMBER(Tracker!K352),Tracker!K352,IF(ISNUMBER(Tracker!L352),Tracker!L352,0))</f>
        <v>46220</v>
      </c>
      <c r="F368" s="180" t="n">
        <f aca="false">IF(ISNUMBER(Tracker!L352),Tracker!L352,IF(ISNUMBER(Tracker!K352),Tracker!K352,0))</f>
        <v>46220</v>
      </c>
      <c r="DU368" s="0" t="str">
        <f aca="false">Tracker!M352</f>
        <v>Complete</v>
      </c>
    </row>
    <row r="369" customFormat="false" ht="15" hidden="false" customHeight="false" outlineLevel="1" collapsed="false">
      <c r="A369" s="179" t="str">
        <f aca="false">Tracker!F353</f>
        <v>CM.VMG.01.3</v>
      </c>
      <c r="B369" s="179" t="str">
        <f aca="false">Tracker!G353</f>
        <v>Support MZE Session 3</v>
      </c>
      <c r="C369" s="179" t="str">
        <f aca="false">TRIM(Tracker!D353)</f>
        <v>Venue Management (VMG)</v>
      </c>
      <c r="D369" s="179" t="str">
        <f aca="false">IF(TRIM(Tracker!J353)="",Tracker!I353,Tracker!J353)</f>
        <v>Ilkin</v>
      </c>
      <c r="E369" s="180" t="n">
        <f aca="false">IF(ISNUMBER(Tracker!K353),Tracker!K353,IF(ISNUMBER(Tracker!L353),Tracker!L353,0))</f>
        <v>46224</v>
      </c>
      <c r="F369" s="180" t="n">
        <f aca="false">IF(ISNUMBER(Tracker!L353),Tracker!L353,IF(ISNUMBER(Tracker!K353),Tracker!K353,0))</f>
        <v>46224</v>
      </c>
      <c r="DU369" s="0" t="str">
        <f aca="false">Tracker!M353</f>
        <v>Complete</v>
      </c>
    </row>
    <row r="370" customFormat="false" ht="15" hidden="false" customHeight="false" outlineLevel="1" collapsed="false">
      <c r="A370" s="179" t="str">
        <f aca="false">Tracker!F354</f>
        <v>CM.VMG.01.4</v>
      </c>
      <c r="B370" s="179" t="str">
        <f aca="false">Tracker!G354</f>
        <v>Support MZE Session 4</v>
      </c>
      <c r="C370" s="179" t="str">
        <f aca="false">TRIM(Tracker!D354)</f>
        <v>Venue Management (VMG)</v>
      </c>
      <c r="D370" s="179" t="str">
        <f aca="false">IF(TRIM(Tracker!J354)="",Tracker!I354,Tracker!J354)</f>
        <v>Ilkin</v>
      </c>
      <c r="E370" s="180" t="n">
        <f aca="false">IF(ISNUMBER(Tracker!K354),Tracker!K354,IF(ISNUMBER(Tracker!L354),Tracker!L354,0))</f>
        <v>46227</v>
      </c>
      <c r="F370" s="180" t="n">
        <f aca="false">IF(ISNUMBER(Tracker!L354),Tracker!L354,IF(ISNUMBER(Tracker!K354),Tracker!K354,0))</f>
        <v>46227</v>
      </c>
      <c r="DU370" s="0" t="str">
        <f aca="false">Tracker!M354</f>
        <v>Complete</v>
      </c>
    </row>
    <row r="371" customFormat="false" ht="15" hidden="false" customHeight="false" outlineLevel="1" collapsed="false">
      <c r="A371" s="179" t="str">
        <f aca="false">Tracker!F355</f>
        <v>CM.VMG.01.5</v>
      </c>
      <c r="B371" s="179" t="str">
        <f aca="false">Tracker!G355</f>
        <v>Support MZE Session 5</v>
      </c>
      <c r="C371" s="179" t="str">
        <f aca="false">TRIM(Tracker!D355)</f>
        <v>Venue Management (VMG)</v>
      </c>
      <c r="D371" s="179" t="str">
        <f aca="false">IF(TRIM(Tracker!J355)="",Tracker!I355,Tracker!J355)</f>
        <v>Ilkin</v>
      </c>
      <c r="E371" s="180" t="n">
        <f aca="false">IF(ISNUMBER(Tracker!K355),Tracker!K355,IF(ISNUMBER(Tracker!L355),Tracker!L355,0))</f>
        <v>46230</v>
      </c>
      <c r="F371" s="180" t="n">
        <f aca="false">IF(ISNUMBER(Tracker!L355),Tracker!L355,IF(ISNUMBER(Tracker!K355),Tracker!K355,0))</f>
        <v>46230</v>
      </c>
      <c r="DU371" s="0" t="str">
        <f aca="false">Tracker!M355</f>
        <v>Complete</v>
      </c>
    </row>
    <row r="372" customFormat="false" ht="15" hidden="false" customHeight="false" outlineLevel="1" collapsed="false">
      <c r="A372" s="179" t="str">
        <f aca="false">Tracker!F356</f>
        <v>CM.VMG.01.6</v>
      </c>
      <c r="B372" s="179" t="str">
        <f aca="false">Tracker!G356</f>
        <v>Support MZE Session 6</v>
      </c>
      <c r="C372" s="179" t="str">
        <f aca="false">TRIM(Tracker!D356)</f>
        <v>Venue Management (VMG)</v>
      </c>
      <c r="D372" s="179" t="str">
        <f aca="false">IF(TRIM(Tracker!J356)="",Tracker!I356,Tracker!J356)</f>
        <v>Ilkin</v>
      </c>
      <c r="E372" s="180" t="n">
        <f aca="false">IF(ISNUMBER(Tracker!K356),Tracker!K356,IF(ISNUMBER(Tracker!L356),Tracker!L356,0))</f>
        <v>46234</v>
      </c>
      <c r="F372" s="180" t="n">
        <f aca="false">IF(ISNUMBER(Tracker!L356),Tracker!L356,IF(ISNUMBER(Tracker!K356),Tracker!K356,0))</f>
        <v>46234</v>
      </c>
      <c r="DU372" s="0" t="str">
        <f aca="false">Tracker!M356</f>
        <v>Complete</v>
      </c>
    </row>
    <row r="373" customFormat="false" ht="15" hidden="false" customHeight="false" outlineLevel="1" collapsed="false">
      <c r="A373" s="179" t="str">
        <f aca="false">Tracker!F357</f>
        <v>CM.VMG.01.7</v>
      </c>
      <c r="B373" s="179" t="str">
        <f aca="false">Tracker!G357</f>
        <v>IDW Sessions </v>
      </c>
      <c r="C373" s="179" t="str">
        <f aca="false">TRIM(Tracker!D357)</f>
        <v>Venue Management (VMG)</v>
      </c>
      <c r="D373" s="179" t="str">
        <f aca="false">IF(TRIM(Tracker!J357)="",Tracker!I357,Tracker!J357)</f>
        <v>Ilkin</v>
      </c>
      <c r="E373" s="180" t="n">
        <f aca="false">IF(ISNUMBER(Tracker!K357),Tracker!K357,IF(ISNUMBER(Tracker!L357),Tracker!L357,0))</f>
        <v>46238</v>
      </c>
      <c r="F373" s="180" t="n">
        <f aca="false">IF(ISNUMBER(Tracker!L357),Tracker!L357,IF(ISNUMBER(Tracker!K357),Tracker!K357,0))</f>
        <v>46238</v>
      </c>
      <c r="DU373" s="0" t="str">
        <f aca="false">Tracker!M357</f>
        <v>On Track</v>
      </c>
    </row>
    <row r="374" customFormat="false" ht="15" hidden="false" customHeight="false" outlineLevel="1" collapsed="false">
      <c r="A374" s="179" t="str">
        <f aca="false">Tracker!F358</f>
        <v>CM.VMG.02</v>
      </c>
      <c r="B374" s="179" t="str">
        <f aca="false">Tracker!G358</f>
        <v>Transition to sitting in Zone Teams/Venuisation</v>
      </c>
      <c r="C374" s="179" t="str">
        <f aca="false">TRIM(Tracker!D358)</f>
        <v>Venue Management (VMG)</v>
      </c>
      <c r="D374" s="179" t="str">
        <f aca="false">IF(TRIM(Tracker!J358)="",Tracker!I358,Tracker!J358)</f>
        <v>Ilkin</v>
      </c>
      <c r="E374" s="180" t="n">
        <f aca="false">IF(ISNUMBER(Tracker!K358),Tracker!K358,IF(ISNUMBER(Tracker!L358),Tracker!L358,0))</f>
        <v>0</v>
      </c>
      <c r="F374" s="180" t="n">
        <f aca="false">IF(ISNUMBER(Tracker!L358),Tracker!L358,IF(ISNUMBER(Tracker!K358),Tracker!K358,0))</f>
        <v>0</v>
      </c>
      <c r="DU374" s="0" t="str">
        <f aca="false">Tracker!M358</f>
        <v>No Update Received</v>
      </c>
    </row>
    <row r="375" customFormat="false" ht="15" hidden="false" customHeight="false" outlineLevel="1" collapsed="false">
      <c r="A375" s="179" t="str">
        <f aca="false">Tracker!F359</f>
        <v>CM.VMG.03</v>
      </c>
      <c r="B375" s="179" t="str">
        <f aca="false">Tracker!G359</f>
        <v>Venue Management Strategies &amp; Operational Plans</v>
      </c>
      <c r="C375" s="179" t="str">
        <f aca="false">TRIM(Tracker!D359)</f>
        <v>Venue Management (VMG)</v>
      </c>
      <c r="D375" s="179" t="str">
        <f aca="false">IF(TRIM(Tracker!J359)="",Tracker!I359,Tracker!J359)</f>
        <v>Ilkin</v>
      </c>
      <c r="E375" s="180" t="n">
        <f aca="false">IF(ISNUMBER(Tracker!K359),Tracker!K359,IF(ISNUMBER(Tracker!L359),Tracker!L359,0))</f>
        <v>0</v>
      </c>
      <c r="F375" s="180" t="n">
        <f aca="false">IF(ISNUMBER(Tracker!L359),Tracker!L359,IF(ISNUMBER(Tracker!K359),Tracker!K359,0))</f>
        <v>0</v>
      </c>
      <c r="DU375" s="0" t="str">
        <f aca="false">Tracker!M359</f>
        <v>No Update Received</v>
      </c>
    </row>
    <row r="376" customFormat="false" ht="15" hidden="false" customHeight="false" outlineLevel="1" collapsed="false">
      <c r="A376" s="179" t="str">
        <f aca="false">Tracker!F360</f>
        <v>CM.VMG.03.1</v>
      </c>
      <c r="B376" s="179" t="str">
        <f aca="false">Tracker!G360</f>
        <v>DOP V1</v>
      </c>
      <c r="C376" s="179" t="str">
        <f aca="false">TRIM(Tracker!D360)</f>
        <v>Venue Management (VMG)</v>
      </c>
      <c r="D376" s="179" t="str">
        <f aca="false">IF(TRIM(Tracker!J360)="",Tracker!I360,Tracker!J360)</f>
        <v>Ilkin</v>
      </c>
      <c r="E376" s="180" t="n">
        <f aca="false">IF(ISNUMBER(Tracker!K360),Tracker!K360,IF(ISNUMBER(Tracker!L360),Tracker!L360,0))</f>
        <v>46223</v>
      </c>
      <c r="F376" s="180" t="n">
        <f aca="false">IF(ISNUMBER(Tracker!L360),Tracker!L360,IF(ISNUMBER(Tracker!K360),Tracker!K360,0))</f>
        <v>46223</v>
      </c>
      <c r="DU376" s="0" t="str">
        <f aca="false">Tracker!M360</f>
        <v>Complete</v>
      </c>
    </row>
    <row r="377" customFormat="false" ht="15" hidden="false" customHeight="false" outlineLevel="1" collapsed="false">
      <c r="A377" s="179" t="str">
        <f aca="false">Tracker!F361</f>
        <v>CM.VMG.03.1</v>
      </c>
      <c r="B377" s="179" t="str">
        <f aca="false">Tracker!G361</f>
        <v>Fleet Map</v>
      </c>
      <c r="C377" s="179" t="str">
        <f aca="false">TRIM(Tracker!D361)</f>
        <v>Venue Management (VMG)</v>
      </c>
      <c r="D377" s="179" t="str">
        <f aca="false">IF(TRIM(Tracker!J361)="",Tracker!I361,Tracker!J361)</f>
        <v>Ilkin</v>
      </c>
      <c r="E377" s="180" t="n">
        <f aca="false">IF(ISNUMBER(Tracker!K361),Tracker!K361,IF(ISNUMBER(Tracker!L361),Tracker!L361,0))</f>
        <v>0</v>
      </c>
      <c r="F377" s="180" t="n">
        <f aca="false">IF(ISNUMBER(Tracker!L361),Tracker!L361,IF(ISNUMBER(Tracker!K361),Tracker!K361,0))</f>
        <v>0</v>
      </c>
      <c r="DU377" s="0" t="str">
        <f aca="false">Tracker!M361</f>
        <v>At Risk</v>
      </c>
    </row>
    <row r="378" customFormat="false" ht="15" hidden="false" customHeight="false" outlineLevel="1" collapsed="false">
      <c r="A378" s="179" t="str">
        <f aca="false">Tracker!F362</f>
        <v>CM.VMG.04</v>
      </c>
      <c r="B378" s="179" t="str">
        <f aca="false">Tracker!G362</f>
        <v>Venue Masterplan</v>
      </c>
      <c r="C378" s="179" t="str">
        <f aca="false">TRIM(Tracker!D362)</f>
        <v>Venue Management (VMG)</v>
      </c>
      <c r="D378" s="179" t="str">
        <f aca="false">IF(TRIM(Tracker!J362)="",Tracker!I362,Tracker!J362)</f>
        <v>Ilkin</v>
      </c>
      <c r="E378" s="180" t="n">
        <f aca="false">IF(ISNUMBER(Tracker!K362),Tracker!K362,IF(ISNUMBER(Tracker!L362),Tracker!L362,0))</f>
        <v>0</v>
      </c>
      <c r="F378" s="180" t="n">
        <f aca="false">IF(ISNUMBER(Tracker!L362),Tracker!L362,IF(ISNUMBER(Tracker!K362),Tracker!K362,0))</f>
        <v>0</v>
      </c>
      <c r="DU378" s="0" t="str">
        <f aca="false">Tracker!M362</f>
        <v>No Update Received</v>
      </c>
    </row>
    <row r="379" customFormat="false" ht="15" hidden="false" customHeight="false" outlineLevel="1" collapsed="false">
      <c r="A379" s="179" t="str">
        <f aca="false">Tracker!F363</f>
        <v>CM.VMG.04.1</v>
      </c>
      <c r="B379" s="179" t="str">
        <f aca="false">Tracker!G363</f>
        <v>Space Plan</v>
      </c>
      <c r="C379" s="179" t="str">
        <f aca="false">TRIM(Tracker!D363)</f>
        <v>Venue Management (VMG)</v>
      </c>
      <c r="D379" s="179" t="n">
        <f aca="false">IF(TRIM(Tracker!J363)="",Tracker!I363,Tracker!J363)</f>
        <v>0</v>
      </c>
      <c r="E379" s="180" t="n">
        <f aca="false">IF(ISNUMBER(Tracker!K363),Tracker!K363,IF(ISNUMBER(Tracker!L363),Tracker!L363,0))</f>
        <v>0</v>
      </c>
      <c r="F379" s="180" t="n">
        <f aca="false">IF(ISNUMBER(Tracker!L363),Tracker!L363,IF(ISNUMBER(Tracker!K363),Tracker!K363,0))</f>
        <v>0</v>
      </c>
      <c r="DU379" s="178" t="n">
        <f aca="false">Tracker!M363</f>
        <v>0</v>
      </c>
    </row>
    <row r="380" customFormat="false" ht="15" hidden="false" customHeight="false" outlineLevel="1" collapsed="false">
      <c r="A380" s="179" t="str">
        <f aca="false">Tracker!F364</f>
        <v>CM.VMG.05</v>
      </c>
      <c r="B380" s="179" t="str">
        <f aca="false">Tracker!G364</f>
        <v>Venue Fitness Certification </v>
      </c>
      <c r="C380" s="179" t="str">
        <f aca="false">TRIM(Tracker!D364)</f>
        <v>Venue Management (VMG)</v>
      </c>
      <c r="D380" s="179" t="str">
        <f aca="false">IF(TRIM(Tracker!J364)="",Tracker!I364,Tracker!J364)</f>
        <v>Ilkin</v>
      </c>
      <c r="E380" s="180" t="n">
        <f aca="false">IF(ISNUMBER(Tracker!K364),Tracker!K364,IF(ISNUMBER(Tracker!L364),Tracker!L364,0))</f>
        <v>0</v>
      </c>
      <c r="F380" s="180" t="n">
        <f aca="false">IF(ISNUMBER(Tracker!L364),Tracker!L364,IF(ISNUMBER(Tracker!K364),Tracker!K364,0))</f>
        <v>0</v>
      </c>
      <c r="DU380" s="0" t="str">
        <f aca="false">Tracker!M364</f>
        <v>No Update Received</v>
      </c>
    </row>
    <row r="381" customFormat="false" ht="15" hidden="false" customHeight="false" outlineLevel="1" collapsed="false">
      <c r="A381" s="179" t="str">
        <f aca="false">Tracker!F365</f>
        <v>CM.VMG.05.1</v>
      </c>
      <c r="B381" s="179" t="str">
        <f aca="false">Tracker!G365</f>
        <v>Intergration to IP Portal </v>
      </c>
      <c r="C381" s="179" t="str">
        <f aca="false">TRIM(Tracker!D365)</f>
        <v>Venue Management (VMG)</v>
      </c>
      <c r="D381" s="179" t="str">
        <f aca="false">IF(TRIM(Tracker!J365)="",Tracker!I365,Tracker!J365)</f>
        <v>Ilkin</v>
      </c>
      <c r="E381" s="180" t="n">
        <f aca="false">IF(ISNUMBER(Tracker!K365),Tracker!K365,IF(ISNUMBER(Tracker!L365),Tracker!L365,0))</f>
        <v>0</v>
      </c>
      <c r="F381" s="180" t="n">
        <f aca="false">IF(ISNUMBER(Tracker!L365),Tracker!L365,IF(ISNUMBER(Tracker!K365),Tracker!K365,0))</f>
        <v>0</v>
      </c>
      <c r="DU381" s="0" t="str">
        <f aca="false">Tracker!M365</f>
        <v>No Update Received</v>
      </c>
    </row>
    <row r="382" customFormat="false" ht="15" hidden="false" customHeight="false" outlineLevel="1" collapsed="false">
      <c r="A382" s="179" t="str">
        <f aca="false">Tracker!F366</f>
        <v>CM.VMG.06</v>
      </c>
      <c r="B382" s="179" t="str">
        <f aca="false">Tracker!G366</f>
        <v>Review Command, Control &amp; Incident Management Planning</v>
      </c>
      <c r="C382" s="179" t="str">
        <f aca="false">TRIM(Tracker!D366)</f>
        <v>Venue Management (VMG)</v>
      </c>
      <c r="D382" s="179" t="str">
        <f aca="false">IF(TRIM(Tracker!J366)="",Tracker!I366,Tracker!J366)</f>
        <v>Ilkin</v>
      </c>
      <c r="E382" s="180" t="n">
        <f aca="false">IF(ISNUMBER(Tracker!K366),Tracker!K366,IF(ISNUMBER(Tracker!L366),Tracker!L366,0))</f>
        <v>0</v>
      </c>
      <c r="F382" s="180" t="n">
        <f aca="false">IF(ISNUMBER(Tracker!L366),Tracker!L366,IF(ISNUMBER(Tracker!K366),Tracker!K366,0))</f>
        <v>0</v>
      </c>
      <c r="DU382" s="0" t="str">
        <f aca="false">Tracker!M366</f>
        <v>No Update Received</v>
      </c>
    </row>
    <row r="383" customFormat="false" ht="15" hidden="false" customHeight="false" outlineLevel="1" collapsed="false">
      <c r="A383" s="179" t="str">
        <f aca="false">Tracker!F367</f>
        <v>CM.VMG.07</v>
      </c>
      <c r="B383" s="179" t="str">
        <f aca="false">Tracker!G367</f>
        <v>Support Operations Centre Planning &amp; Integration</v>
      </c>
      <c r="C383" s="179" t="str">
        <f aca="false">TRIM(Tracker!D367)</f>
        <v>Venue Management (VMG)</v>
      </c>
      <c r="D383" s="179" t="str">
        <f aca="false">IF(TRIM(Tracker!J367)="",Tracker!I367,Tracker!J367)</f>
        <v>Ilkin</v>
      </c>
      <c r="E383" s="180" t="n">
        <f aca="false">IF(ISNUMBER(Tracker!K367),Tracker!K367,IF(ISNUMBER(Tracker!L367),Tracker!L367,0))</f>
        <v>0</v>
      </c>
      <c r="F383" s="180" t="n">
        <f aca="false">IF(ISNUMBER(Tracker!L367),Tracker!L367,IF(ISNUMBER(Tracker!K367),Tracker!K367,0))</f>
        <v>0</v>
      </c>
      <c r="DU383" s="0" t="str">
        <f aca="false">Tracker!M367</f>
        <v>No Update Received</v>
      </c>
    </row>
    <row r="384" customFormat="false" ht="15" hidden="false" customHeight="false" outlineLevel="1" collapsed="false">
      <c r="A384" s="179" t="str">
        <f aca="false">Tracker!F368</f>
        <v>CM.VMG.07.1</v>
      </c>
      <c r="B384" s="179" t="str">
        <f aca="false">Tracker!G368</f>
        <v>Daily Runsheet</v>
      </c>
      <c r="C384" s="179" t="str">
        <f aca="false">TRIM(Tracker!D368)</f>
        <v>Venue Management (VMG)</v>
      </c>
      <c r="D384" s="179" t="str">
        <f aca="false">IF(TRIM(Tracker!J368)="",Tracker!I368,Tracker!J368)</f>
        <v>Ilkin</v>
      </c>
      <c r="E384" s="180" t="n">
        <f aca="false">IF(ISNUMBER(Tracker!K368),Tracker!K368,IF(ISNUMBER(Tracker!L368),Tracker!L368,0))</f>
        <v>0</v>
      </c>
      <c r="F384" s="180" t="n">
        <f aca="false">IF(ISNUMBER(Tracker!L368),Tracker!L368,IF(ISNUMBER(Tracker!K368),Tracker!K368,0))</f>
        <v>0</v>
      </c>
      <c r="DU384" s="0" t="str">
        <f aca="false">Tracker!M368</f>
        <v>No Update Received</v>
      </c>
    </row>
    <row r="385" customFormat="false" ht="15" hidden="false" customHeight="false" outlineLevel="1" collapsed="false">
      <c r="A385" s="179" t="str">
        <f aca="false">Tracker!F369</f>
        <v>CM.VMG.08</v>
      </c>
      <c r="B385" s="179" t="str">
        <f aca="false">Tracker!G369</f>
        <v>Venue Systems &amp; Operational Technology Readiness</v>
      </c>
      <c r="C385" s="179" t="str">
        <f aca="false">TRIM(Tracker!D369)</f>
        <v>Venue Management (VMG)</v>
      </c>
      <c r="D385" s="179" t="str">
        <f aca="false">IF(TRIM(Tracker!J369)="",Tracker!I369,Tracker!J369)</f>
        <v>Ilkin</v>
      </c>
      <c r="E385" s="180" t="n">
        <f aca="false">IF(ISNUMBER(Tracker!K369),Tracker!K369,IF(ISNUMBER(Tracker!L369),Tracker!L369,0))</f>
        <v>0</v>
      </c>
      <c r="F385" s="180" t="n">
        <f aca="false">IF(ISNUMBER(Tracker!L369),Tracker!L369,IF(ISNUMBER(Tracker!K369),Tracker!K369,0))</f>
        <v>0</v>
      </c>
      <c r="DU385" s="0" t="str">
        <f aca="false">Tracker!M369</f>
        <v>No Update Received</v>
      </c>
    </row>
    <row r="386" customFormat="false" ht="15" hidden="false" customHeight="false" outlineLevel="1" collapsed="false">
      <c r="A386" s="179" t="str">
        <f aca="false">Tracker!F370</f>
        <v>CM.VMG.08.1</v>
      </c>
      <c r="B386" s="179" t="str">
        <f aca="false">Tracker!G370</f>
        <v>Intergration to IP Portal </v>
      </c>
      <c r="C386" s="179" t="str">
        <f aca="false">TRIM(Tracker!D370)</f>
        <v>Venue Management (VMG)</v>
      </c>
      <c r="D386" s="179" t="n">
        <f aca="false">IF(TRIM(Tracker!J370)="",Tracker!I370,Tracker!J370)</f>
        <v>0</v>
      </c>
      <c r="E386" s="180" t="n">
        <f aca="false">IF(ISNUMBER(Tracker!K370),Tracker!K370,IF(ISNUMBER(Tracker!L370),Tracker!L370,0))</f>
        <v>0</v>
      </c>
      <c r="F386" s="180" t="n">
        <f aca="false">IF(ISNUMBER(Tracker!L370),Tracker!L370,IF(ISNUMBER(Tracker!K370),Tracker!K370,0))</f>
        <v>0</v>
      </c>
      <c r="DU386" s="178" t="n">
        <f aca="false">Tracker!M370</f>
        <v>0</v>
      </c>
    </row>
    <row r="387" customFormat="false" ht="15" hidden="false" customHeight="false" outlineLevel="1" collapsed="false">
      <c r="A387" s="179" t="str">
        <f aca="false">Tracker!F371</f>
        <v>CM.VMG.08.2</v>
      </c>
      <c r="B387" s="179" t="str">
        <f aca="false">Tracker!G371</f>
        <v>Digital Screen </v>
      </c>
      <c r="C387" s="179" t="str">
        <f aca="false">TRIM(Tracker!D371)</f>
        <v>Venue Management (VMG)</v>
      </c>
      <c r="D387" s="179" t="n">
        <f aca="false">IF(TRIM(Tracker!J371)="",Tracker!I371,Tracker!J371)</f>
        <v>0</v>
      </c>
      <c r="E387" s="180" t="n">
        <f aca="false">IF(ISNUMBER(Tracker!K371),Tracker!K371,IF(ISNUMBER(Tracker!L371),Tracker!L371,0))</f>
        <v>0</v>
      </c>
      <c r="F387" s="180" t="n">
        <f aca="false">IF(ISNUMBER(Tracker!L371),Tracker!L371,IF(ISNUMBER(Tracker!K371),Tracker!K371,0))</f>
        <v>0</v>
      </c>
      <c r="DU387" s="178" t="n">
        <f aca="false">Tracker!M371</f>
        <v>0</v>
      </c>
    </row>
    <row r="388" customFormat="false" ht="15" hidden="false" customHeight="false" outlineLevel="1" collapsed="false">
      <c r="A388" s="179" t="str">
        <f aca="false">Tracker!F372</f>
        <v>CM.VMG.09</v>
      </c>
      <c r="B388" s="179" t="str">
        <f aca="false">Tracker!G372</f>
        <v> Venue Safety &amp; Emergency Planning</v>
      </c>
      <c r="C388" s="179" t="str">
        <f aca="false">TRIM(Tracker!D372)</f>
        <v>Venue Management (VMG)</v>
      </c>
      <c r="D388" s="179" t="str">
        <f aca="false">IF(TRIM(Tracker!J372)="",Tracker!I372,Tracker!J372)</f>
        <v>Ilkin</v>
      </c>
      <c r="E388" s="180" t="n">
        <f aca="false">IF(ISNUMBER(Tracker!K372),Tracker!K372,IF(ISNUMBER(Tracker!L372),Tracker!L372,0))</f>
        <v>0</v>
      </c>
      <c r="F388" s="180" t="n">
        <f aca="false">IF(ISNUMBER(Tracker!L372),Tracker!L372,IF(ISNUMBER(Tracker!K372),Tracker!K372,0))</f>
        <v>0</v>
      </c>
      <c r="DU388" s="0" t="str">
        <f aca="false">Tracker!M372</f>
        <v>No Update Received</v>
      </c>
    </row>
    <row r="389" customFormat="false" ht="15" hidden="false" customHeight="false" outlineLevel="1" collapsed="false">
      <c r="A389" s="179" t="str">
        <f aca="false">Tracker!F373</f>
        <v>CM.VMG.05.1</v>
      </c>
      <c r="B389" s="179" t="str">
        <f aca="false">Tracker!G373</f>
        <v>Medical Services Plan</v>
      </c>
      <c r="C389" s="179" t="str">
        <f aca="false">TRIM(Tracker!D373)</f>
        <v>Venue Management (VMG)</v>
      </c>
      <c r="D389" s="179" t="str">
        <f aca="false">IF(TRIM(Tracker!J373)="",Tracker!I373,Tracker!J373)</f>
        <v>Ilkin</v>
      </c>
      <c r="E389" s="180" t="n">
        <f aca="false">IF(ISNUMBER(Tracker!K373),Tracker!K373,IF(ISNUMBER(Tracker!L373),Tracker!L373,0))</f>
        <v>0</v>
      </c>
      <c r="F389" s="180" t="n">
        <f aca="false">IF(ISNUMBER(Tracker!L373),Tracker!L373,IF(ISNUMBER(Tracker!K373),Tracker!K373,0))</f>
        <v>0</v>
      </c>
      <c r="DU389" s="0" t="str">
        <f aca="false">Tracker!M373</f>
        <v>At Risk</v>
      </c>
    </row>
    <row r="390" customFormat="false" ht="15.75" hidden="false" customHeight="true" outlineLevel="0" collapsed="false">
      <c r="A390" s="175"/>
      <c r="B390" s="176" t="s">
        <v>1163</v>
      </c>
      <c r="C390" s="176" t="s">
        <v>1163</v>
      </c>
      <c r="D390" s="175"/>
      <c r="E390" s="177" t="n">
        <f aca="false">IFERROR(_xlfn.MINIFS(E391:E410,E391:E410,"&gt;0"),0)</f>
        <v>45931</v>
      </c>
      <c r="F390" s="177" t="n">
        <f aca="false">IFERROR(_xlfn.MAXIFS(F391:F410,F391:F410,"&gt;0"),0)</f>
        <v>46327</v>
      </c>
      <c r="DU390" s="178" t="s">
        <v>1357</v>
      </c>
    </row>
    <row r="391" customFormat="false" ht="15" hidden="false" customHeight="false" outlineLevel="1" collapsed="false">
      <c r="A391" s="179" t="str">
        <f aca="false">Tracker!F374</f>
        <v>KM.96</v>
      </c>
      <c r="B391" s="179" t="str">
        <f aca="false">Tracker!G374</f>
        <v>Volunteer Strategy Published</v>
      </c>
      <c r="C391" s="179" t="str">
        <f aca="false">TRIM(Tracker!D374)</f>
        <v>Volunteers</v>
      </c>
      <c r="D391" s="179" t="str">
        <f aca="false">IF(TRIM(Tracker!J374)="",Tracker!I374,Tracker!J374)</f>
        <v>Kirsty</v>
      </c>
      <c r="E391" s="180" t="n">
        <f aca="false">IF(ISNUMBER(Tracker!K374),Tracker!K374,IF(ISNUMBER(Tracker!L374),Tracker!L374,0))</f>
        <v>45931</v>
      </c>
      <c r="F391" s="180" t="n">
        <f aca="false">IF(ISNUMBER(Tracker!L374),Tracker!L374,IF(ISNUMBER(Tracker!K374),Tracker!K374,0))</f>
        <v>45931</v>
      </c>
      <c r="DU391" s="0" t="str">
        <f aca="false">Tracker!M374</f>
        <v>Complete</v>
      </c>
    </row>
    <row r="392" customFormat="false" ht="15" hidden="false" customHeight="false" outlineLevel="1" collapsed="false">
      <c r="A392" s="179" t="str">
        <f aca="false">Tracker!F375</f>
        <v>KM.99</v>
      </c>
      <c r="B392" s="179" t="str">
        <f aca="false">Tracker!G375</f>
        <v>Volunteer Program Commence</v>
      </c>
      <c r="C392" s="179" t="str">
        <f aca="false">TRIM(Tracker!D375)</f>
        <v>Volunteers</v>
      </c>
      <c r="D392" s="179" t="str">
        <f aca="false">IF(TRIM(Tracker!J375)="",Tracker!I375,Tracker!J375)</f>
        <v>Kirsty</v>
      </c>
      <c r="E392" s="180" t="n">
        <f aca="false">IF(ISNUMBER(Tracker!K375),Tracker!K375,IF(ISNUMBER(Tracker!L375),Tracker!L375,0))</f>
        <v>45992</v>
      </c>
      <c r="F392" s="180" t="n">
        <f aca="false">IF(ISNUMBER(Tracker!L375),Tracker!L375,IF(ISNUMBER(Tracker!K375),Tracker!K375,0))</f>
        <v>45992</v>
      </c>
      <c r="DU392" s="0" t="str">
        <f aca="false">Tracker!M375</f>
        <v>Complete</v>
      </c>
    </row>
    <row r="393" customFormat="false" ht="15" hidden="false" customHeight="false" outlineLevel="1" collapsed="false">
      <c r="A393" s="179" t="str">
        <f aca="false">Tracker!F376</f>
        <v>KM.105</v>
      </c>
      <c r="B393" s="179" t="str">
        <f aca="false">Tracker!G376</f>
        <v>Volunteers Recruitment And Training Commence</v>
      </c>
      <c r="C393" s="179" t="str">
        <f aca="false">TRIM(Tracker!D376)</f>
        <v>Volunteers</v>
      </c>
      <c r="D393" s="179" t="str">
        <f aca="false">IF(TRIM(Tracker!J376)="",Tracker!I376,Tracker!J376)</f>
        <v>Kirsty</v>
      </c>
      <c r="E393" s="180" t="n">
        <f aca="false">IF(ISNUMBER(Tracker!K376),Tracker!K376,IF(ISNUMBER(Tracker!L376),Tracker!L376,0))</f>
        <v>46203</v>
      </c>
      <c r="F393" s="180" t="n">
        <f aca="false">IF(ISNUMBER(Tracker!L376),Tracker!L376,IF(ISNUMBER(Tracker!K376),Tracker!K376,0))</f>
        <v>46203</v>
      </c>
      <c r="DU393" s="0" t="str">
        <f aca="false">Tracker!M376</f>
        <v>On Track</v>
      </c>
    </row>
    <row r="394" customFormat="false" ht="15" hidden="false" customHeight="false" outlineLevel="1" collapsed="false">
      <c r="A394" s="179" t="str">
        <f aca="false">Tracker!F377</f>
        <v>NEW</v>
      </c>
      <c r="B394" s="179" t="str">
        <f aca="false">Tracker!G377</f>
        <v>Volunteer Handbook Published</v>
      </c>
      <c r="C394" s="179" t="str">
        <f aca="false">TRIM(Tracker!D377)</f>
        <v>Volunteers</v>
      </c>
      <c r="D394" s="179" t="str">
        <f aca="false">IF(TRIM(Tracker!J377)="",Tracker!I377,Tracker!J377)</f>
        <v>Kirsty</v>
      </c>
      <c r="E394" s="180" t="n">
        <f aca="false">IF(ISNUMBER(Tracker!K377),Tracker!K377,IF(ISNUMBER(Tracker!L377),Tracker!L377,0))</f>
        <v>46266</v>
      </c>
      <c r="F394" s="180" t="n">
        <f aca="false">IF(ISNUMBER(Tracker!L377),Tracker!L377,IF(ISNUMBER(Tracker!K377),Tracker!K377,0))</f>
        <v>46266</v>
      </c>
      <c r="DU394" s="0" t="str">
        <f aca="false">Tracker!M377</f>
        <v>Not Started</v>
      </c>
    </row>
    <row r="395" customFormat="false" ht="15" hidden="false" customHeight="false" outlineLevel="1" collapsed="false">
      <c r="A395" s="179" t="str">
        <f aca="false">Tracker!F378</f>
        <v>NEW</v>
      </c>
      <c r="B395" s="179" t="str">
        <f aca="false">Tracker!G378</f>
        <v>First Wave Volunteer Recruitment Target Achieved</v>
      </c>
      <c r="C395" s="179" t="str">
        <f aca="false">TRIM(Tracker!D378)</f>
        <v>Volunteers</v>
      </c>
      <c r="D395" s="179" t="str">
        <f aca="false">IF(TRIM(Tracker!J378)="",Tracker!I378,Tracker!J378)</f>
        <v>Kirsty</v>
      </c>
      <c r="E395" s="180" t="n">
        <f aca="false">IF(ISNUMBER(Tracker!K378),Tracker!K378,IF(ISNUMBER(Tracker!L378),Tracker!L378,0))</f>
        <v>46310</v>
      </c>
      <c r="F395" s="180" t="n">
        <f aca="false">IF(ISNUMBER(Tracker!L378),Tracker!L378,IF(ISNUMBER(Tracker!K378),Tracker!K378,0))</f>
        <v>46310</v>
      </c>
      <c r="DU395" s="0" t="str">
        <f aca="false">Tracker!M378</f>
        <v>Not Started</v>
      </c>
    </row>
    <row r="396" customFormat="false" ht="15" hidden="false" customHeight="false" outlineLevel="1" collapsed="false">
      <c r="A396" s="179" t="str">
        <f aca="false">Tracker!F379</f>
        <v>NEW</v>
      </c>
      <c r="B396" s="179" t="str">
        <f aca="false">Tracker!G379</f>
        <v>Volunteer Marketing Campaign Launched</v>
      </c>
      <c r="C396" s="179" t="str">
        <f aca="false">TRIM(Tracker!D379)</f>
        <v>Volunteers</v>
      </c>
      <c r="D396" s="179" t="str">
        <f aca="false">IF(TRIM(Tracker!J379)="",Tracker!I379,Tracker!J379)</f>
        <v>Kirsty</v>
      </c>
      <c r="E396" s="180" t="n">
        <f aca="false">IF(ISNUMBER(Tracker!K379),Tracker!K379,IF(ISNUMBER(Tracker!L379),Tracker!L379,0))</f>
        <v>46235</v>
      </c>
      <c r="F396" s="180" t="n">
        <f aca="false">IF(ISNUMBER(Tracker!L379),Tracker!L379,IF(ISNUMBER(Tracker!K379),Tracker!K379,0))</f>
        <v>46235</v>
      </c>
      <c r="DU396" s="0" t="str">
        <f aca="false">Tracker!M379</f>
        <v>Not Started</v>
      </c>
    </row>
    <row r="397" customFormat="false" ht="15" hidden="false" customHeight="false" outlineLevel="1" collapsed="false">
      <c r="A397" s="179" t="str">
        <f aca="false">Tracker!F380</f>
        <v>NEW</v>
      </c>
      <c r="B397" s="179" t="str">
        <f aca="false">Tracker!G380</f>
        <v>Volunteer Retention &amp; Engagement Monitoring Live</v>
      </c>
      <c r="C397" s="179" t="str">
        <f aca="false">TRIM(Tracker!D380)</f>
        <v>Volunteers</v>
      </c>
      <c r="D397" s="179" t="str">
        <f aca="false">IF(TRIM(Tracker!J380)="",Tracker!I380,Tracker!J380)</f>
        <v>Kirsty</v>
      </c>
      <c r="E397" s="180" t="n">
        <f aca="false">IF(ISNUMBER(Tracker!K380),Tracker!K380,IF(ISNUMBER(Tracker!L380),Tracker!L380,0))</f>
        <v>46327</v>
      </c>
      <c r="F397" s="180" t="n">
        <f aca="false">IF(ISNUMBER(Tracker!L380),Tracker!L380,IF(ISNUMBER(Tracker!K380),Tracker!K380,0))</f>
        <v>46327</v>
      </c>
      <c r="DU397" s="0" t="str">
        <f aca="false">Tracker!M380</f>
        <v>Not Started</v>
      </c>
    </row>
    <row r="398" customFormat="false" ht="15" hidden="false" customHeight="false" outlineLevel="1" collapsed="false">
      <c r="A398" s="179" t="str">
        <f aca="false">Tracker!F381</f>
        <v>NEW</v>
      </c>
      <c r="B398" s="179" t="str">
        <f aca="false">Tracker!G381</f>
        <v>Volunteer Insurance Policy &amp; Framework Approved</v>
      </c>
      <c r="C398" s="179" t="str">
        <f aca="false">TRIM(Tracker!D381)</f>
        <v>Volunteers</v>
      </c>
      <c r="D398" s="179" t="str">
        <f aca="false">IF(TRIM(Tracker!J381)="",Tracker!I381,Tracker!J381)</f>
        <v>Kirsty</v>
      </c>
      <c r="E398" s="180" t="n">
        <f aca="false">IF(ISNUMBER(Tracker!K381),Tracker!K381,IF(ISNUMBER(Tracker!L381),Tracker!L381,0))</f>
        <v>46249</v>
      </c>
      <c r="F398" s="180" t="n">
        <f aca="false">IF(ISNUMBER(Tracker!L381),Tracker!L381,IF(ISNUMBER(Tracker!K381),Tracker!K381,0))</f>
        <v>46249</v>
      </c>
      <c r="DU398" s="0" t="str">
        <f aca="false">Tracker!M381</f>
        <v>Not Started</v>
      </c>
    </row>
    <row r="399" customFormat="false" ht="15" hidden="false" customHeight="false" outlineLevel="1" collapsed="false">
      <c r="A399" s="179" t="str">
        <f aca="false">Tracker!F382</f>
        <v>NEW</v>
      </c>
      <c r="B399" s="179" t="str">
        <f aca="false">Tracker!G382</f>
        <v>Volunteer Reward &amp; Recognition Programme Agreed</v>
      </c>
      <c r="C399" s="179" t="str">
        <f aca="false">TRIM(Tracker!D382)</f>
        <v>Volunteers</v>
      </c>
      <c r="D399" s="179" t="str">
        <f aca="false">IF(TRIM(Tracker!J382)="",Tracker!I382,Tracker!J382)</f>
        <v>Kirsty</v>
      </c>
      <c r="E399" s="180" t="n">
        <f aca="false">IF(ISNUMBER(Tracker!K382),Tracker!K382,IF(ISNUMBER(Tracker!L382),Tracker!L382,0))</f>
        <v>46280</v>
      </c>
      <c r="F399" s="180" t="n">
        <f aca="false">IF(ISNUMBER(Tracker!L382),Tracker!L382,IF(ISNUMBER(Tracker!K382),Tracker!K382,0))</f>
        <v>46280</v>
      </c>
      <c r="DU399" s="0" t="str">
        <f aca="false">Tracker!M382</f>
        <v>Not Started</v>
      </c>
    </row>
    <row r="400" customFormat="false" ht="15" hidden="false" customHeight="false" outlineLevel="1" collapsed="false">
      <c r="A400" s="179" t="str">
        <f aca="false">Tracker!F383</f>
        <v>CM.VOL.01</v>
      </c>
      <c r="B400" s="179" t="str">
        <f aca="false">Tracker!G383</f>
        <v>Volunteer Strategy &amp; Operational Plans</v>
      </c>
      <c r="C400" s="179" t="str">
        <f aca="false">TRIM(Tracker!D383)</f>
        <v>Volunteers</v>
      </c>
      <c r="D400" s="179" t="str">
        <f aca="false">IF(TRIM(Tracker!J383)="",Tracker!I383,Tracker!J383)</f>
        <v>Kirsty</v>
      </c>
      <c r="E400" s="180" t="n">
        <f aca="false">IF(ISNUMBER(Tracker!K383),Tracker!K383,IF(ISNUMBER(Tracker!L383),Tracker!L383,0))</f>
        <v>0</v>
      </c>
      <c r="F400" s="180" t="n">
        <f aca="false">IF(ISNUMBER(Tracker!L383),Tracker!L383,IF(ISNUMBER(Tracker!K383),Tracker!K383,0))</f>
        <v>0</v>
      </c>
      <c r="DU400" s="0" t="str">
        <f aca="false">Tracker!M383</f>
        <v>On Track</v>
      </c>
    </row>
    <row r="401" customFormat="false" ht="15" hidden="false" customHeight="false" outlineLevel="1" collapsed="false">
      <c r="A401" s="179" t="str">
        <f aca="false">Tracker!F384</f>
        <v>CM.VOL.01.1</v>
      </c>
      <c r="B401" s="179" t="str">
        <f aca="false">Tracker!G384</f>
        <v>DOP V1</v>
      </c>
      <c r="C401" s="179" t="str">
        <f aca="false">TRIM(Tracker!D384)</f>
        <v>Volunteers</v>
      </c>
      <c r="D401" s="179" t="str">
        <f aca="false">IF(TRIM(Tracker!J384)="",Tracker!I384,Tracker!J384)</f>
        <v>Kirsty</v>
      </c>
      <c r="E401" s="180" t="n">
        <f aca="false">IF(ISNUMBER(Tracker!K384),Tracker!K384,IF(ISNUMBER(Tracker!L384),Tracker!L384,0))</f>
        <v>46225</v>
      </c>
      <c r="F401" s="180" t="n">
        <f aca="false">IF(ISNUMBER(Tracker!L384),Tracker!L384,IF(ISNUMBER(Tracker!K384),Tracker!K384,0))</f>
        <v>46225</v>
      </c>
      <c r="DU401" s="0" t="str">
        <f aca="false">Tracker!M384</f>
        <v>Complete</v>
      </c>
    </row>
    <row r="402" customFormat="false" ht="15" hidden="false" customHeight="false" outlineLevel="1" collapsed="false">
      <c r="A402" s="179" t="str">
        <f aca="false">Tracker!F385</f>
        <v>CM.VOL.02</v>
      </c>
      <c r="B402" s="179" t="str">
        <f aca="false">Tracker!G385</f>
        <v>Volunteer Workforce Planning &amp; Deployment Model</v>
      </c>
      <c r="C402" s="179" t="str">
        <f aca="false">TRIM(Tracker!D385)</f>
        <v>Volunteers</v>
      </c>
      <c r="D402" s="179" t="str">
        <f aca="false">IF(TRIM(Tracker!J385)="",Tracker!I385,Tracker!J385)</f>
        <v>Kirsty</v>
      </c>
      <c r="E402" s="180" t="n">
        <f aca="false">IF(ISNUMBER(Tracker!K385),Tracker!K385,IF(ISNUMBER(Tracker!L385),Tracker!L385,0))</f>
        <v>0</v>
      </c>
      <c r="F402" s="180" t="n">
        <f aca="false">IF(ISNUMBER(Tracker!L385),Tracker!L385,IF(ISNUMBER(Tracker!K385),Tracker!K385,0))</f>
        <v>0</v>
      </c>
      <c r="DU402" s="0" t="str">
        <f aca="false">Tracker!M385</f>
        <v>No Update Received</v>
      </c>
    </row>
    <row r="403" customFormat="false" ht="15" hidden="false" customHeight="false" outlineLevel="1" collapsed="false">
      <c r="A403" s="179" t="str">
        <f aca="false">Tracker!F386</f>
        <v>CM.VOL.03</v>
      </c>
      <c r="B403" s="179" t="str">
        <f aca="false">Tracker!G386</f>
        <v>Volunteer Recruitment, Selection &amp; Onboarding Frameworks</v>
      </c>
      <c r="C403" s="179" t="str">
        <f aca="false">TRIM(Tracker!D386)</f>
        <v>Volunteers</v>
      </c>
      <c r="D403" s="179" t="str">
        <f aca="false">IF(TRIM(Tracker!J386)="",Tracker!I386,Tracker!J386)</f>
        <v>Kirsty</v>
      </c>
      <c r="E403" s="180" t="n">
        <f aca="false">IF(ISNUMBER(Tracker!K386),Tracker!K386,IF(ISNUMBER(Tracker!L386),Tracker!L386,0))</f>
        <v>0</v>
      </c>
      <c r="F403" s="180" t="n">
        <f aca="false">IF(ISNUMBER(Tracker!L386),Tracker!L386,IF(ISNUMBER(Tracker!K386),Tracker!K386,0))</f>
        <v>0</v>
      </c>
      <c r="DU403" s="0" t="str">
        <f aca="false">Tracker!M386</f>
        <v>No Update Received</v>
      </c>
    </row>
    <row r="404" customFormat="false" ht="15" hidden="false" customHeight="false" outlineLevel="1" collapsed="false">
      <c r="A404" s="179" t="str">
        <f aca="false">Tracker!F387</f>
        <v>CM.VOL.04</v>
      </c>
      <c r="B404" s="179" t="str">
        <f aca="false">Tracker!G387</f>
        <v>Volunteer Engagement &amp; Retention Monitoring Framework Review</v>
      </c>
      <c r="C404" s="179" t="str">
        <f aca="false">TRIM(Tracker!D387)</f>
        <v>Volunteers</v>
      </c>
      <c r="D404" s="179" t="str">
        <f aca="false">IF(TRIM(Tracker!J387)="",Tracker!I387,Tracker!J387)</f>
        <v>Kirsty</v>
      </c>
      <c r="E404" s="180" t="n">
        <f aca="false">IF(ISNUMBER(Tracker!K387),Tracker!K387,IF(ISNUMBER(Tracker!L387),Tracker!L387,0))</f>
        <v>0</v>
      </c>
      <c r="F404" s="180" t="n">
        <f aca="false">IF(ISNUMBER(Tracker!L387),Tracker!L387,IF(ISNUMBER(Tracker!K387),Tracker!K387,0))</f>
        <v>0</v>
      </c>
      <c r="DU404" s="0" t="str">
        <f aca="false">Tracker!M387</f>
        <v>No Update Received</v>
      </c>
    </row>
    <row r="405" customFormat="false" ht="15" hidden="false" customHeight="false" outlineLevel="1" collapsed="false">
      <c r="A405" s="179" t="str">
        <f aca="false">Tracker!F388</f>
        <v>CM.VOL.05</v>
      </c>
      <c r="B405" s="179" t="str">
        <f aca="false">Tracker!G388</f>
        <v>Volunteer Guidelines</v>
      </c>
      <c r="C405" s="179" t="str">
        <f aca="false">TRIM(Tracker!D388)</f>
        <v>Volunteers</v>
      </c>
      <c r="D405" s="179" t="str">
        <f aca="false">IF(TRIM(Tracker!J388)="",Tracker!I388,Tracker!J388)</f>
        <v>Kirsty</v>
      </c>
      <c r="E405" s="180" t="n">
        <f aca="false">IF(ISNUMBER(Tracker!K388),Tracker!K388,IF(ISNUMBER(Tracker!L388),Tracker!L388,0))</f>
        <v>0</v>
      </c>
      <c r="F405" s="180" t="n">
        <f aca="false">IF(ISNUMBER(Tracker!L388),Tracker!L388,IF(ISNUMBER(Tracker!K388),Tracker!K388,0))</f>
        <v>0</v>
      </c>
      <c r="DU405" s="0" t="str">
        <f aca="false">Tracker!M388</f>
        <v>No Update Received</v>
      </c>
    </row>
    <row r="406" customFormat="false" ht="15" hidden="false" customHeight="false" outlineLevel="1" collapsed="false">
      <c r="A406" s="179" t="str">
        <f aca="false">Tracker!F389</f>
        <v>CM.VOL.06</v>
      </c>
      <c r="B406" s="179" t="str">
        <f aca="false">Tracker!G389</f>
        <v>Volunteer Training &amp; Development Frameworks</v>
      </c>
      <c r="C406" s="179" t="str">
        <f aca="false">TRIM(Tracker!D389)</f>
        <v>Volunteers</v>
      </c>
      <c r="D406" s="179" t="str">
        <f aca="false">IF(TRIM(Tracker!J389)="",Tracker!I389,Tracker!J389)</f>
        <v>Kirsty</v>
      </c>
      <c r="E406" s="180" t="n">
        <f aca="false">IF(ISNUMBER(Tracker!K389),Tracker!K389,IF(ISNUMBER(Tracker!L389),Tracker!L389,0))</f>
        <v>0</v>
      </c>
      <c r="F406" s="180" t="n">
        <f aca="false">IF(ISNUMBER(Tracker!L389),Tracker!L389,IF(ISNUMBER(Tracker!K389),Tracker!K389,0))</f>
        <v>0</v>
      </c>
      <c r="DU406" s="0" t="str">
        <f aca="false">Tracker!M389</f>
        <v>No Update Received</v>
      </c>
    </row>
    <row r="407" customFormat="false" ht="15" hidden="false" customHeight="false" outlineLevel="1" collapsed="false">
      <c r="A407" s="179" t="str">
        <f aca="false">Tracker!F390</f>
        <v>CM.VOL.07</v>
      </c>
      <c r="B407" s="179" t="str">
        <f aca="false">Tracker!G390</f>
        <v>Volunteer Systems &amp; Technology Implementation</v>
      </c>
      <c r="C407" s="179" t="str">
        <f aca="false">TRIM(Tracker!D390)</f>
        <v>Volunteers</v>
      </c>
      <c r="D407" s="179" t="str">
        <f aca="false">IF(TRIM(Tracker!J390)="",Tracker!I390,Tracker!J390)</f>
        <v>Kirsty</v>
      </c>
      <c r="E407" s="180" t="n">
        <f aca="false">IF(ISNUMBER(Tracker!K390),Tracker!K390,IF(ISNUMBER(Tracker!L390),Tracker!L390,0))</f>
        <v>0</v>
      </c>
      <c r="F407" s="180" t="n">
        <f aca="false">IF(ISNUMBER(Tracker!L390),Tracker!L390,IF(ISNUMBER(Tracker!K390),Tracker!K390,0))</f>
        <v>0</v>
      </c>
      <c r="DU407" s="0" t="str">
        <f aca="false">Tracker!M390</f>
        <v>No Update Received</v>
      </c>
    </row>
    <row r="408" customFormat="false" ht="15" hidden="false" customHeight="false" outlineLevel="1" collapsed="false">
      <c r="A408" s="179" t="str">
        <f aca="false">Tracker!F391</f>
        <v>CM.VOL.08</v>
      </c>
      <c r="B408" s="179" t="str">
        <f aca="false">Tracker!G391</f>
        <v>Volunteer Welfare &amp; Support Frameworks</v>
      </c>
      <c r="C408" s="179" t="str">
        <f aca="false">TRIM(Tracker!D391)</f>
        <v>Volunteers</v>
      </c>
      <c r="D408" s="179" t="str">
        <f aca="false">IF(TRIM(Tracker!J391)="",Tracker!I391,Tracker!J391)</f>
        <v>Kirsty</v>
      </c>
      <c r="E408" s="180" t="n">
        <f aca="false">IF(ISNUMBER(Tracker!K391),Tracker!K391,IF(ISNUMBER(Tracker!L391),Tracker!L391,0))</f>
        <v>0</v>
      </c>
      <c r="F408" s="180" t="n">
        <f aca="false">IF(ISNUMBER(Tracker!L391),Tracker!L391,IF(ISNUMBER(Tracker!K391),Tracker!K391,0))</f>
        <v>0</v>
      </c>
      <c r="DU408" s="0" t="str">
        <f aca="false">Tracker!M391</f>
        <v>No Update Received</v>
      </c>
    </row>
    <row r="409" customFormat="false" ht="15" hidden="false" customHeight="false" outlineLevel="1" collapsed="false">
      <c r="A409" s="179" t="str">
        <f aca="false">Tracker!F392</f>
        <v>CM.VOL.09</v>
      </c>
      <c r="B409" s="179" t="str">
        <f aca="false">Tracker!G392</f>
        <v>Volunteer Deployment &amp; Command Structures</v>
      </c>
      <c r="C409" s="179" t="str">
        <f aca="false">TRIM(Tracker!D392)</f>
        <v>Volunteers</v>
      </c>
      <c r="D409" s="179" t="str">
        <f aca="false">IF(TRIM(Tracker!J392)="",Tracker!I392,Tracker!J392)</f>
        <v>Kirsty</v>
      </c>
      <c r="E409" s="180" t="n">
        <f aca="false">IF(ISNUMBER(Tracker!K392),Tracker!K392,IF(ISNUMBER(Tracker!L392),Tracker!L392,0))</f>
        <v>0</v>
      </c>
      <c r="F409" s="180" t="n">
        <f aca="false">IF(ISNUMBER(Tracker!L392),Tracker!L392,IF(ISNUMBER(Tracker!K392),Tracker!K392,0))</f>
        <v>0</v>
      </c>
      <c r="DU409" s="0" t="str">
        <f aca="false">Tracker!M392</f>
        <v>No Update Received</v>
      </c>
    </row>
    <row r="410" customFormat="false" ht="15" hidden="false" customHeight="false" outlineLevel="1" collapsed="false">
      <c r="A410" s="179" t="str">
        <f aca="false">Tracker!F393</f>
        <v>CM.VOL.10</v>
      </c>
      <c r="B410" s="179" t="str">
        <f aca="false">Tracker!G393</f>
        <v>Volunteer Readiness Reviews</v>
      </c>
      <c r="C410" s="179" t="str">
        <f aca="false">TRIM(Tracker!D393)</f>
        <v>Volunteers</v>
      </c>
      <c r="D410" s="179" t="str">
        <f aca="false">IF(TRIM(Tracker!J393)="",Tracker!I393,Tracker!J393)</f>
        <v>Kirsty</v>
      </c>
      <c r="E410" s="180" t="n">
        <f aca="false">IF(ISNUMBER(Tracker!K393),Tracker!K393,IF(ISNUMBER(Tracker!L393),Tracker!L393,0))</f>
        <v>0</v>
      </c>
      <c r="F410" s="180" t="n">
        <f aca="false">IF(ISNUMBER(Tracker!L393),Tracker!L393,IF(ISNUMBER(Tracker!K393),Tracker!K393,0))</f>
        <v>0</v>
      </c>
      <c r="DU410" s="0" t="str">
        <f aca="false">Tracker!M393</f>
        <v>No Update Received</v>
      </c>
    </row>
    <row r="411" customFormat="false" ht="15.75" hidden="false" customHeight="true" outlineLevel="0" collapsed="false">
      <c r="A411" s="175"/>
      <c r="B411" s="176" t="s">
        <v>1214</v>
      </c>
      <c r="C411" s="176" t="s">
        <v>1214</v>
      </c>
      <c r="D411" s="175"/>
      <c r="E411" s="177" t="n">
        <f aca="false">IFERROR(_xlfn.MINIFS(E412:E433,E412:E433,"&gt;0"),0)</f>
        <v>46203</v>
      </c>
      <c r="F411" s="177" t="n">
        <f aca="false">IFERROR(_xlfn.MAXIFS(F412:F433,F412:F433,"&gt;0"),0)</f>
        <v>46478</v>
      </c>
      <c r="DU411" s="178" t="s">
        <v>1357</v>
      </c>
    </row>
    <row r="412" customFormat="false" ht="15" hidden="false" customHeight="false" outlineLevel="1" collapsed="false">
      <c r="A412" s="179" t="str">
        <f aca="false">Tracker!F394</f>
        <v>KM.104</v>
      </c>
      <c r="B412" s="179" t="str">
        <f aca="false">Tracker!G394</f>
        <v>Workforce Catering Strategy Published</v>
      </c>
      <c r="C412" s="179" t="str">
        <f aca="false">TRIM(Tracker!D394)</f>
        <v>Workforce (WKF)</v>
      </c>
      <c r="D412" s="179" t="str">
        <f aca="false">IF(TRIM(Tracker!J394)="",Tracker!I394,Tracker!J394)</f>
        <v>Kirsty</v>
      </c>
      <c r="E412" s="180" t="n">
        <f aca="false">IF(ISNUMBER(Tracker!K394),Tracker!K394,IF(ISNUMBER(Tracker!L394),Tracker!L394,0))</f>
        <v>46203</v>
      </c>
      <c r="F412" s="180" t="n">
        <f aca="false">IF(ISNUMBER(Tracker!L394),Tracker!L394,IF(ISNUMBER(Tracker!K394),Tracker!K394,0))</f>
        <v>46203</v>
      </c>
      <c r="DU412" s="0" t="str">
        <f aca="false">Tracker!M394</f>
        <v>On Track</v>
      </c>
    </row>
    <row r="413" customFormat="false" ht="15" hidden="false" customHeight="false" outlineLevel="1" collapsed="false">
      <c r="A413" s="179" t="str">
        <f aca="false">Tracker!F395</f>
        <v>KM.121</v>
      </c>
      <c r="B413" s="179" t="str">
        <f aca="false">Tracker!G395</f>
        <v>Staff and Vendor - Venue Specific Training (VST) /Role Specific Training (RST) Training Complete</v>
      </c>
      <c r="C413" s="179" t="str">
        <f aca="false">TRIM(Tracker!D395)</f>
        <v>Workforce (WKF)</v>
      </c>
      <c r="D413" s="179" t="str">
        <f aca="false">IF(TRIM(Tracker!J395)="",Tracker!I395,Tracker!J395)</f>
        <v>Kirsty</v>
      </c>
      <c r="E413" s="180" t="n">
        <f aca="false">IF(ISNUMBER(Tracker!K395),Tracker!K395,IF(ISNUMBER(Tracker!L395),Tracker!L395,0))</f>
        <v>46478</v>
      </c>
      <c r="F413" s="180" t="n">
        <f aca="false">IF(ISNUMBER(Tracker!L395),Tracker!L395,IF(ISNUMBER(Tracker!K395),Tracker!K395,0))</f>
        <v>46478</v>
      </c>
      <c r="DU413" s="0" t="str">
        <f aca="false">Tracker!M395</f>
        <v>On Track</v>
      </c>
    </row>
    <row r="414" customFormat="false" ht="15" hidden="false" customHeight="false" outlineLevel="1" collapsed="false">
      <c r="A414" s="179" t="str">
        <f aca="false">Tracker!F396</f>
        <v>KM.122</v>
      </c>
      <c r="B414" s="179" t="str">
        <f aca="false">Tracker!G396</f>
        <v>First Wave of Volunteer Uniform Distribution Complete</v>
      </c>
      <c r="C414" s="179" t="str">
        <f aca="false">TRIM(Tracker!D396)</f>
        <v>Workforce (WKF)</v>
      </c>
      <c r="D414" s="179" t="str">
        <f aca="false">IF(TRIM(Tracker!J396)="",Tracker!I396,Tracker!J396)</f>
        <v>Kirsty</v>
      </c>
      <c r="E414" s="180" t="n">
        <f aca="false">IF(ISNUMBER(Tracker!K396),Tracker!K396,IF(ISNUMBER(Tracker!L396),Tracker!L396,0))</f>
        <v>46478</v>
      </c>
      <c r="F414" s="180" t="n">
        <f aca="false">IF(ISNUMBER(Tracker!L396),Tracker!L396,IF(ISNUMBER(Tracker!K396),Tracker!K396,0))</f>
        <v>46478</v>
      </c>
      <c r="DU414" s="0" t="str">
        <f aca="false">Tracker!M396</f>
        <v>On Track</v>
      </c>
    </row>
    <row r="415" customFormat="false" ht="15" hidden="false" customHeight="false" outlineLevel="1" collapsed="false">
      <c r="A415" s="179" t="str">
        <f aca="false">Tracker!F397</f>
        <v>KM.150</v>
      </c>
      <c r="B415" s="179" t="str">
        <f aca="false">Tracker!G397</f>
        <v>Workforce Catering Fully Operational</v>
      </c>
      <c r="C415" s="179" t="str">
        <f aca="false">TRIM(Tracker!D397)</f>
        <v>Workforce (WKF)</v>
      </c>
      <c r="D415" s="179" t="str">
        <f aca="false">IF(TRIM(Tracker!J397)="",Tracker!I397,Tracker!J397)</f>
        <v>Kirsty</v>
      </c>
      <c r="E415" s="180" t="n">
        <f aca="false">IF(ISNUMBER(Tracker!K397),Tracker!K397,IF(ISNUMBER(Tracker!L397),Tracker!L397,0))</f>
        <v>46357</v>
      </c>
      <c r="F415" s="180" t="n">
        <f aca="false">IF(ISNUMBER(Tracker!L397),Tracker!L397,IF(ISNUMBER(Tracker!K397),Tracker!K397,0))</f>
        <v>46357</v>
      </c>
      <c r="DU415" s="0" t="str">
        <f aca="false">Tracker!M397</f>
        <v>On Track</v>
      </c>
    </row>
    <row r="416" customFormat="false" ht="15" hidden="false" customHeight="false" outlineLevel="1" collapsed="false">
      <c r="A416" s="179" t="str">
        <f aca="false">Tracker!F398</f>
        <v>NEW</v>
      </c>
      <c r="B416" s="179" t="str">
        <f aca="false">Tracker!G398</f>
        <v>Workforce Planning &amp; Headcount Model Approved</v>
      </c>
      <c r="C416" s="179" t="str">
        <f aca="false">TRIM(Tracker!D398)</f>
        <v>Workforce (WKF)</v>
      </c>
      <c r="D416" s="179" t="str">
        <f aca="false">IF(TRIM(Tracker!J398)="",Tracker!I398,Tracker!J398)</f>
        <v>Kirsty</v>
      </c>
      <c r="E416" s="180" t="n">
        <f aca="false">IF(ISNUMBER(Tracker!K398),Tracker!K398,IF(ISNUMBER(Tracker!L398),Tracker!L398,0))</f>
        <v>46266</v>
      </c>
      <c r="F416" s="180" t="n">
        <f aca="false">IF(ISNUMBER(Tracker!L398),Tracker!L398,IF(ISNUMBER(Tracker!K398),Tracker!K398,0))</f>
        <v>46266</v>
      </c>
      <c r="DU416" s="0" t="str">
        <f aca="false">Tracker!M398</f>
        <v>Not Started</v>
      </c>
    </row>
    <row r="417" customFormat="false" ht="15" hidden="false" customHeight="false" outlineLevel="1" collapsed="false">
      <c r="A417" s="179" t="str">
        <f aca="false">Tracker!F399</f>
        <v>NEW</v>
      </c>
      <c r="B417" s="179" t="str">
        <f aca="false">Tracker!G399</f>
        <v>Workforce Management System (WFM) Live</v>
      </c>
      <c r="C417" s="179" t="str">
        <f aca="false">TRIM(Tracker!D399)</f>
        <v>Workforce (WKF)</v>
      </c>
      <c r="D417" s="179" t="str">
        <f aca="false">IF(TRIM(Tracker!J399)="",Tracker!I399,Tracker!J399)</f>
        <v>Kirsty</v>
      </c>
      <c r="E417" s="180" t="n">
        <f aca="false">IF(ISNUMBER(Tracker!K399),Tracker!K399,IF(ISNUMBER(Tracker!L399),Tracker!L399,0))</f>
        <v>46327</v>
      </c>
      <c r="F417" s="180" t="n">
        <f aca="false">IF(ISNUMBER(Tracker!L399),Tracker!L399,IF(ISNUMBER(Tracker!K399),Tracker!K399,0))</f>
        <v>46327</v>
      </c>
      <c r="DU417" s="0" t="str">
        <f aca="false">Tracker!M399</f>
        <v>Not Started</v>
      </c>
    </row>
    <row r="418" customFormat="false" ht="15" hidden="false" customHeight="false" outlineLevel="1" collapsed="false">
      <c r="A418" s="179" t="str">
        <f aca="false">Tracker!F400</f>
        <v>NEW</v>
      </c>
      <c r="B418" s="179" t="str">
        <f aca="false">Tracker!G400</f>
        <v>Uniform Design &amp; Sizing Finalised</v>
      </c>
      <c r="C418" s="179" t="str">
        <f aca="false">TRIM(Tracker!D400)</f>
        <v>Workforce (WKF)</v>
      </c>
      <c r="D418" s="179" t="str">
        <f aca="false">IF(TRIM(Tracker!J400)="",Tracker!I400,Tracker!J400)</f>
        <v>Kirsty</v>
      </c>
      <c r="E418" s="180" t="n">
        <f aca="false">IF(ISNUMBER(Tracker!K400),Tracker!K400,IF(ISNUMBER(Tracker!L400),Tracker!L400,0))</f>
        <v>46280</v>
      </c>
      <c r="F418" s="180" t="n">
        <f aca="false">IF(ISNUMBER(Tracker!L400),Tracker!L400,IF(ISNUMBER(Tracker!K400),Tracker!K400,0))</f>
        <v>46280</v>
      </c>
      <c r="DU418" s="0" t="str">
        <f aca="false">Tracker!M400</f>
        <v>Not Started</v>
      </c>
    </row>
    <row r="419" customFormat="false" ht="15" hidden="false" customHeight="false" outlineLevel="1" collapsed="false">
      <c r="A419" s="179" t="str">
        <f aca="false">Tracker!F401</f>
        <v>NEW</v>
      </c>
      <c r="B419" s="179" t="str">
        <f aca="false">Tracker!G401</f>
        <v>ETOS V1 Review</v>
      </c>
      <c r="C419" s="179" t="str">
        <f aca="false">TRIM(Tracker!D401)</f>
        <v>Workforce (WKF)</v>
      </c>
      <c r="D419" s="179" t="str">
        <f aca="false">IF(TRIM(Tracker!J401)="",Tracker!I401,Tracker!J401)</f>
        <v>Kirsty</v>
      </c>
      <c r="E419" s="180" t="n">
        <f aca="false">IF(ISNUMBER(Tracker!K401),Tracker!K401,IF(ISNUMBER(Tracker!L401),Tracker!L401,0))</f>
        <v>0</v>
      </c>
      <c r="F419" s="180" t="n">
        <f aca="false">IF(ISNUMBER(Tracker!L401),Tracker!L401,IF(ISNUMBER(Tracker!K401),Tracker!K401,0))</f>
        <v>0</v>
      </c>
      <c r="DU419" s="0" t="str">
        <f aca="false">Tracker!M401</f>
        <v>Not Started</v>
      </c>
    </row>
    <row r="420" customFormat="false" ht="15" hidden="false" customHeight="false" outlineLevel="1" collapsed="false">
      <c r="A420" s="179" t="str">
        <f aca="false">Tracker!F402</f>
        <v>NEW</v>
      </c>
      <c r="B420" s="179" t="str">
        <f aca="false">Tracker!G402</f>
        <v>ETOS Final Sign Off</v>
      </c>
      <c r="C420" s="179" t="str">
        <f aca="false">TRIM(Tracker!D402)</f>
        <v>Workforce (WKF)</v>
      </c>
      <c r="D420" s="179" t="str">
        <f aca="false">IF(TRIM(Tracker!J402)="",Tracker!I402,Tracker!J402)</f>
        <v>Kirsty</v>
      </c>
      <c r="E420" s="180" t="n">
        <f aca="false">IF(ISNUMBER(Tracker!K402),Tracker!K402,IF(ISNUMBER(Tracker!L402),Tracker!L402,0))</f>
        <v>0</v>
      </c>
      <c r="F420" s="180" t="n">
        <f aca="false">IF(ISNUMBER(Tracker!L402),Tracker!L402,IF(ISNUMBER(Tracker!K402),Tracker!K402,0))</f>
        <v>0</v>
      </c>
      <c r="DU420" s="0" t="str">
        <f aca="false">Tracker!M402</f>
        <v>Not Started</v>
      </c>
    </row>
    <row r="421" customFormat="false" ht="15" hidden="false" customHeight="false" outlineLevel="1" collapsed="false">
      <c r="A421" s="179" t="str">
        <f aca="false">Tracker!F403</f>
        <v>NEW</v>
      </c>
      <c r="B421" s="179" t="str">
        <f aca="false">Tracker!G403</f>
        <v>Schedule Submission Deadline</v>
      </c>
      <c r="C421" s="179" t="str">
        <f aca="false">TRIM(Tracker!D403)</f>
        <v>Workforce (WKF)</v>
      </c>
      <c r="D421" s="179" t="str">
        <f aca="false">IF(TRIM(Tracker!J403)="",Tracker!I403,Tracker!J403)</f>
        <v>Kirsty</v>
      </c>
      <c r="E421" s="180" t="n">
        <f aca="false">IF(ISNUMBER(Tracker!K403),Tracker!K403,IF(ISNUMBER(Tracker!L403),Tracker!L403,0))</f>
        <v>0</v>
      </c>
      <c r="F421" s="180" t="n">
        <f aca="false">IF(ISNUMBER(Tracker!L403),Tracker!L403,IF(ISNUMBER(Tracker!K403),Tracker!K403,0))</f>
        <v>0</v>
      </c>
      <c r="DU421" s="0" t="str">
        <f aca="false">Tracker!M403</f>
        <v>Not Started</v>
      </c>
    </row>
    <row r="422" customFormat="false" ht="15" hidden="false" customHeight="false" outlineLevel="1" collapsed="false">
      <c r="A422" s="179" t="str">
        <f aca="false">Tracker!F404</f>
        <v>NEW</v>
      </c>
      <c r="B422" s="179" t="str">
        <f aca="false">Tracker!G404</f>
        <v>Roster Submissions Deadline</v>
      </c>
      <c r="C422" s="179" t="str">
        <f aca="false">TRIM(Tracker!D404)</f>
        <v>Workforce (WKF)</v>
      </c>
      <c r="D422" s="179" t="str">
        <f aca="false">IF(TRIM(Tracker!J404)="",Tracker!I404,Tracker!J404)</f>
        <v>Kirsty</v>
      </c>
      <c r="E422" s="180" t="n">
        <f aca="false">IF(ISNUMBER(Tracker!K404),Tracker!K404,IF(ISNUMBER(Tracker!L404),Tracker!L404,0))</f>
        <v>0</v>
      </c>
      <c r="F422" s="180" t="n">
        <f aca="false">IF(ISNUMBER(Tracker!L404),Tracker!L404,IF(ISNUMBER(Tracker!K404),Tracker!K404,0))</f>
        <v>0</v>
      </c>
      <c r="DU422" s="0" t="str">
        <f aca="false">Tracker!M404</f>
        <v>Not Started</v>
      </c>
    </row>
    <row r="423" customFormat="false" ht="15" hidden="false" customHeight="false" outlineLevel="1" collapsed="false">
      <c r="A423" s="179" t="str">
        <f aca="false">Tracker!F405</f>
        <v>CM.WKF.01</v>
      </c>
      <c r="B423" s="179" t="str">
        <f aca="false">Tracker!G405</f>
        <v>Workforce Strategy &amp; Operational Plans</v>
      </c>
      <c r="C423" s="179" t="str">
        <f aca="false">TRIM(Tracker!D405)</f>
        <v>Workforce (WKF)</v>
      </c>
      <c r="D423" s="179" t="str">
        <f aca="false">IF(TRIM(Tracker!J405)="",Tracker!I405,Tracker!J405)</f>
        <v>Kirsty</v>
      </c>
      <c r="E423" s="180" t="n">
        <f aca="false">IF(ISNUMBER(Tracker!K405),Tracker!K405,IF(ISNUMBER(Tracker!L405),Tracker!L405,0))</f>
        <v>46204</v>
      </c>
      <c r="F423" s="180" t="n">
        <f aca="false">IF(ISNUMBER(Tracker!L405),Tracker!L405,IF(ISNUMBER(Tracker!K405),Tracker!K405,0))</f>
        <v>46220</v>
      </c>
      <c r="DU423" s="0" t="str">
        <f aca="false">Tracker!M405</f>
        <v>Complete</v>
      </c>
    </row>
    <row r="424" customFormat="false" ht="15" hidden="false" customHeight="false" outlineLevel="1" collapsed="false">
      <c r="A424" s="179" t="str">
        <f aca="false">Tracker!F406</f>
        <v>CM.WKF.01.1</v>
      </c>
      <c r="B424" s="179" t="str">
        <f aca="false">Tracker!G406</f>
        <v>DOP V1</v>
      </c>
      <c r="C424" s="179" t="str">
        <f aca="false">TRIM(Tracker!D406)</f>
        <v>Workforce (WKF)</v>
      </c>
      <c r="D424" s="179" t="str">
        <f aca="false">IF(TRIM(Tracker!J406)="",Tracker!I406,Tracker!J406)</f>
        <v>Kirsty</v>
      </c>
      <c r="E424" s="180" t="n">
        <f aca="false">IF(ISNUMBER(Tracker!K406),Tracker!K406,IF(ISNUMBER(Tracker!L406),Tracker!L406,0))</f>
        <v>46226</v>
      </c>
      <c r="F424" s="180" t="n">
        <f aca="false">IF(ISNUMBER(Tracker!L406),Tracker!L406,IF(ISNUMBER(Tracker!K406),Tracker!K406,0))</f>
        <v>46226</v>
      </c>
      <c r="DU424" s="0" t="str">
        <f aca="false">Tracker!M406</f>
        <v>Complete</v>
      </c>
    </row>
    <row r="425" customFormat="false" ht="15" hidden="false" customHeight="false" outlineLevel="1" collapsed="false">
      <c r="A425" s="179" t="str">
        <f aca="false">Tracker!F407</f>
        <v>CM.WKF.02</v>
      </c>
      <c r="B425" s="179" t="str">
        <f aca="false">Tracker!G407</f>
        <v>Workforce Planning &amp; Deployment Models</v>
      </c>
      <c r="C425" s="179" t="str">
        <f aca="false">TRIM(Tracker!D407)</f>
        <v>Workforce (WKF)</v>
      </c>
      <c r="D425" s="179" t="str">
        <f aca="false">IF(TRIM(Tracker!J407)="",Tracker!I407,Tracker!J407)</f>
        <v>Kirsty</v>
      </c>
      <c r="E425" s="180" t="n">
        <f aca="false">IF(ISNUMBER(Tracker!K407),Tracker!K407,IF(ISNUMBER(Tracker!L407),Tracker!L407,0))</f>
        <v>46209</v>
      </c>
      <c r="F425" s="180" t="n">
        <f aca="false">IF(ISNUMBER(Tracker!L407),Tracker!L407,IF(ISNUMBER(Tracker!K407),Tracker!K407,0))</f>
        <v>46248</v>
      </c>
      <c r="DU425" s="0" t="str">
        <f aca="false">Tracker!M407</f>
        <v>On Track</v>
      </c>
    </row>
    <row r="426" customFormat="false" ht="15" hidden="false" customHeight="false" outlineLevel="1" collapsed="false">
      <c r="A426" s="179" t="str">
        <f aca="false">Tracker!F408</f>
        <v>CM.WKF.03</v>
      </c>
      <c r="B426" s="179" t="str">
        <f aca="false">Tracker!G408</f>
        <v>Workforce Management System Implementation</v>
      </c>
      <c r="C426" s="179" t="str">
        <f aca="false">TRIM(Tracker!D408)</f>
        <v>Workforce (WKF)</v>
      </c>
      <c r="D426" s="179" t="str">
        <f aca="false">IF(TRIM(Tracker!J408)="",Tracker!I408,Tracker!J408)</f>
        <v>Kirsty</v>
      </c>
      <c r="E426" s="180" t="n">
        <f aca="false">IF(ISNUMBER(Tracker!K408),Tracker!K408,IF(ISNUMBER(Tracker!L408),Tracker!L408,0))</f>
        <v>46211</v>
      </c>
      <c r="F426" s="180" t="n">
        <f aca="false">IF(ISNUMBER(Tracker!L408),Tracker!L408,IF(ISNUMBER(Tracker!K408),Tracker!K408,0))</f>
        <v>46327</v>
      </c>
      <c r="DU426" s="0" t="str">
        <f aca="false">Tracker!M408</f>
        <v>No Update Received</v>
      </c>
    </row>
    <row r="427" customFormat="false" ht="15" hidden="false" customHeight="false" outlineLevel="1" collapsed="false">
      <c r="A427" s="179" t="str">
        <f aca="false">Tracker!F409</f>
        <v>CM.WKF.03.1</v>
      </c>
      <c r="B427" s="179" t="str">
        <f aca="false">Tracker!G409</f>
        <v>Systems Scope and Business Requirement review</v>
      </c>
      <c r="C427" s="179" t="str">
        <f aca="false">TRIM(Tracker!D409)</f>
        <v>Workforce (WKF)</v>
      </c>
      <c r="D427" s="179" t="str">
        <f aca="false">IF(TRIM(Tracker!J409)="",Tracker!I409,Tracker!J409)</f>
        <v>Kirsty</v>
      </c>
      <c r="E427" s="180" t="n">
        <f aca="false">IF(ISNUMBER(Tracker!K409),Tracker!K409,IF(ISNUMBER(Tracker!L409),Tracker!L409,0))</f>
        <v>46211</v>
      </c>
      <c r="F427" s="180" t="n">
        <f aca="false">IF(ISNUMBER(Tracker!L409),Tracker!L409,IF(ISNUMBER(Tracker!K409),Tracker!K409,0))</f>
        <v>46220</v>
      </c>
      <c r="DU427" s="0" t="str">
        <f aca="false">Tracker!M409</f>
        <v>Complete</v>
      </c>
    </row>
    <row r="428" customFormat="false" ht="15" hidden="false" customHeight="false" outlineLevel="1" collapsed="false">
      <c r="A428" s="179" t="str">
        <f aca="false">Tracker!F410</f>
        <v>CM.WKF.04</v>
      </c>
      <c r="B428" s="179" t="str">
        <f aca="false">Tracker!G410</f>
        <v>Scheduling, Rostering &amp; Attendance Frameworks</v>
      </c>
      <c r="C428" s="179" t="str">
        <f aca="false">TRIM(Tracker!D410)</f>
        <v>Workforce (WKF)</v>
      </c>
      <c r="D428" s="179" t="str">
        <f aca="false">IF(TRIM(Tracker!J410)="",Tracker!I410,Tracker!J410)</f>
        <v>Kirsty</v>
      </c>
      <c r="E428" s="180" t="n">
        <f aca="false">IF(ISNUMBER(Tracker!K410),Tracker!K410,IF(ISNUMBER(Tracker!L410),Tracker!L410,0))</f>
        <v>46240</v>
      </c>
      <c r="F428" s="180" t="n">
        <f aca="false">IF(ISNUMBER(Tracker!L410),Tracker!L410,IF(ISNUMBER(Tracker!K410),Tracker!K410,0))</f>
        <v>46327</v>
      </c>
      <c r="DU428" s="0" t="str">
        <f aca="false">Tracker!M410</f>
        <v>No Update Received</v>
      </c>
    </row>
    <row r="429" customFormat="false" ht="15" hidden="false" customHeight="false" outlineLevel="1" collapsed="false">
      <c r="A429" s="179" t="str">
        <f aca="false">Tracker!F411</f>
        <v>CM.WKF.05</v>
      </c>
      <c r="B429" s="179" t="str">
        <f aca="false">Tracker!G411</f>
        <v>Learning Management System (LMS) Readiness Assessment</v>
      </c>
      <c r="C429" s="179" t="str">
        <f aca="false">TRIM(Tracker!D411)</f>
        <v>Workforce (WKF)</v>
      </c>
      <c r="D429" s="179" t="str">
        <f aca="false">IF(TRIM(Tracker!J411)="",Tracker!I411,Tracker!J411)</f>
        <v>Kirsty</v>
      </c>
      <c r="E429" s="180" t="n">
        <f aca="false">IF(ISNUMBER(Tracker!K411),Tracker!K411,IF(ISNUMBER(Tracker!L411),Tracker!L411,0))</f>
        <v>46211</v>
      </c>
      <c r="F429" s="180" t="n">
        <f aca="false">IF(ISNUMBER(Tracker!L411),Tracker!L411,IF(ISNUMBER(Tracker!K411),Tracker!K411,0))</f>
        <v>46327</v>
      </c>
      <c r="DU429" s="0" t="str">
        <f aca="false">Tracker!M411</f>
        <v>No Update Received</v>
      </c>
    </row>
    <row r="430" customFormat="false" ht="15" hidden="false" customHeight="false" outlineLevel="1" collapsed="false">
      <c r="A430" s="179" t="str">
        <f aca="false">Tracker!F412</f>
        <v>CM.WKF.06</v>
      </c>
      <c r="B430" s="179" t="str">
        <f aca="false">Tracker!G412</f>
        <v> Workforce Training &amp; Onboarding Frameworks</v>
      </c>
      <c r="C430" s="179" t="str">
        <f aca="false">TRIM(Tracker!D412)</f>
        <v>Workforce (WKF)</v>
      </c>
      <c r="D430" s="179" t="str">
        <f aca="false">IF(TRIM(Tracker!J412)="",Tracker!I412,Tracker!J412)</f>
        <v>Kirsty</v>
      </c>
      <c r="E430" s="180" t="n">
        <f aca="false">IF(ISNUMBER(Tracker!K412),Tracker!K412,IF(ISNUMBER(Tracker!L412),Tracker!L412,0))</f>
        <v>46240</v>
      </c>
      <c r="F430" s="180" t="n">
        <f aca="false">IF(ISNUMBER(Tracker!L412),Tracker!L412,IF(ISNUMBER(Tracker!K412),Tracker!K412,0))</f>
        <v>46296</v>
      </c>
      <c r="DU430" s="0" t="str">
        <f aca="false">Tracker!M412</f>
        <v>No Update Received</v>
      </c>
    </row>
    <row r="431" customFormat="false" ht="15" hidden="false" customHeight="false" outlineLevel="1" collapsed="false">
      <c r="A431" s="179" t="str">
        <f aca="false">Tracker!F413</f>
        <v>CM.WKF.07</v>
      </c>
      <c r="B431" s="179" t="str">
        <f aca="false">Tracker!G413</f>
        <v>Workforce Uniform &amp; Equipment Planning</v>
      </c>
      <c r="C431" s="179" t="str">
        <f aca="false">TRIM(Tracker!D413)</f>
        <v>Workforce (WKF)</v>
      </c>
      <c r="D431" s="179" t="str">
        <f aca="false">IF(TRIM(Tracker!J413)="",Tracker!I413,Tracker!J413)</f>
        <v>Kirsty</v>
      </c>
      <c r="E431" s="180" t="n">
        <f aca="false">IF(ISNUMBER(Tracker!K413),Tracker!K413,IF(ISNUMBER(Tracker!L413),Tracker!L413,0))</f>
        <v>46213</v>
      </c>
      <c r="F431" s="180" t="n">
        <f aca="false">IF(ISNUMBER(Tracker!L413),Tracker!L413,IF(ISNUMBER(Tracker!K413),Tracker!K413,0))</f>
        <v>46266</v>
      </c>
      <c r="DU431" s="0" t="str">
        <f aca="false">Tracker!M413</f>
        <v>No Update Received</v>
      </c>
    </row>
    <row r="432" customFormat="false" ht="15" hidden="false" customHeight="false" outlineLevel="1" collapsed="false">
      <c r="A432" s="179" t="str">
        <f aca="false">Tracker!F414</f>
        <v>CM.WKF.08</v>
      </c>
      <c r="B432" s="179" t="str">
        <f aca="false">Tracker!G414</f>
        <v>Workforce Catering &amp; Welfare Planning</v>
      </c>
      <c r="C432" s="179" t="str">
        <f aca="false">TRIM(Tracker!D414)</f>
        <v>Workforce (WKF)</v>
      </c>
      <c r="D432" s="179" t="str">
        <f aca="false">IF(TRIM(Tracker!J414)="",Tracker!I414,Tracker!J414)</f>
        <v>Kirsty</v>
      </c>
      <c r="E432" s="180" t="n">
        <f aca="false">IF(ISNUMBER(Tracker!K414),Tracker!K414,IF(ISNUMBER(Tracker!L414),Tracker!L414,0))</f>
        <v>46237</v>
      </c>
      <c r="F432" s="180" t="n">
        <f aca="false">IF(ISNUMBER(Tracker!L414),Tracker!L414,IF(ISNUMBER(Tracker!K414),Tracker!K414,0))</f>
        <v>46266</v>
      </c>
      <c r="DU432" s="0" t="str">
        <f aca="false">Tracker!M414</f>
        <v>No Update Received</v>
      </c>
    </row>
    <row r="433" customFormat="false" ht="15" hidden="false" customHeight="false" outlineLevel="1" collapsed="false">
      <c r="A433" s="179" t="str">
        <f aca="false">Tracker!F415</f>
        <v>CM.WKF.09</v>
      </c>
      <c r="B433" s="179" t="str">
        <f aca="false">Tracker!G415</f>
        <v>Workforce Readiness Reviews</v>
      </c>
      <c r="C433" s="179" t="str">
        <f aca="false">TRIM(Tracker!D415)</f>
        <v>Workforce (WKF)</v>
      </c>
      <c r="D433" s="179" t="str">
        <f aca="false">IF(TRIM(Tracker!J415)="",Tracker!I415,Tracker!J415)</f>
        <v>Kirsty</v>
      </c>
      <c r="E433" s="180" t="n">
        <f aca="false">IF(ISNUMBER(Tracker!K415),Tracker!K415,IF(ISNUMBER(Tracker!L415),Tracker!L415,0))</f>
        <v>46357</v>
      </c>
      <c r="F433" s="180" t="n">
        <f aca="false">IF(ISNUMBER(Tracker!L415),Tracker!L415,IF(ISNUMBER(Tracker!K415),Tracker!K415,0))</f>
        <v>46419</v>
      </c>
      <c r="DU433" s="0" t="str">
        <f aca="false">Tracker!M415</f>
        <v>No Update Received</v>
      </c>
    </row>
    <row r="434" customFormat="false" ht="15.75" hidden="false" customHeight="true" outlineLevel="0" collapsed="false">
      <c r="A434" s="175"/>
      <c r="B434" s="176" t="s">
        <v>1361</v>
      </c>
      <c r="C434" s="176" t="s">
        <v>1361</v>
      </c>
      <c r="D434" s="175"/>
      <c r="E434" s="177" t="n">
        <f aca="false">IFERROR(_xlfn.MINIFS(E435:E435,E435:E435,"&gt;0"),0)</f>
        <v>0</v>
      </c>
      <c r="F434" s="177" t="n">
        <f aca="false">IFERROR(_xlfn.MAXIFS(F435:F435,F435:F435,"&gt;0"),0)</f>
        <v>0</v>
      </c>
      <c r="DU434" s="178" t="s">
        <v>1357</v>
      </c>
    </row>
    <row r="435" customFormat="false" ht="15" hidden="false" customHeight="false" outlineLevel="1" collapsed="false">
      <c r="A435" s="179" t="n">
        <f aca="false">Tracker!F416</f>
        <v>0</v>
      </c>
      <c r="B435" s="179" t="n">
        <f aca="false">Tracker!G416</f>
        <v>0</v>
      </c>
      <c r="C435" s="179" t="s">
        <v>1361</v>
      </c>
      <c r="D435" s="179" t="n">
        <f aca="false">IF(TRIM(Tracker!J416)="",Tracker!I416,Tracker!J416)</f>
        <v>0</v>
      </c>
      <c r="E435" s="180" t="n">
        <f aca="false">IF(ISNUMBER(Tracker!K416),Tracker!K416,IF(ISNUMBER(Tracker!L416),Tracker!L416,0))</f>
        <v>0</v>
      </c>
      <c r="F435" s="180" t="n">
        <f aca="false">IF(ISNUMBER(Tracker!L416),Tracker!L416,IF(ISNUMBER(Tracker!K416),Tracker!K416,0))</f>
        <v>0</v>
      </c>
      <c r="DU435" s="0" t="str">
        <f aca="false">Tracker!M416</f>
        <v>No Update Received</v>
      </c>
    </row>
    <row r="436" customFormat="false" ht="15.75" hidden="false" customHeight="true" outlineLevel="0" collapsed="false">
      <c r="A436" s="175"/>
      <c r="B436" s="176" t="s">
        <v>1267</v>
      </c>
      <c r="C436" s="176" t="s">
        <v>1267</v>
      </c>
      <c r="D436" s="175"/>
      <c r="E436" s="177" t="n">
        <f aca="false">IFERROR(_xlfn.MINIFS(E437:E455,E437:E455,"&gt;0"),0)</f>
        <v>46227</v>
      </c>
      <c r="F436" s="177" t="n">
        <f aca="false">IFERROR(_xlfn.MAXIFS(F437:F455,F437:F455,"&gt;0"),0)</f>
        <v>46227</v>
      </c>
      <c r="DU436" s="178" t="s">
        <v>1357</v>
      </c>
    </row>
    <row r="437" customFormat="false" ht="15" hidden="false" customHeight="false" outlineLevel="1" collapsed="false">
      <c r="A437" s="179" t="str">
        <f aca="false">Tracker!F417</f>
        <v>NEW</v>
      </c>
      <c r="B437" s="179" t="str">
        <f aca="false">Tracker!G417</f>
        <v>Catering operating model &amp; F&amp;B strategy approved</v>
      </c>
      <c r="C437" s="179" t="str">
        <f aca="false">TRIM(Tracker!D417)</f>
        <v>Catering (CAT)</v>
      </c>
      <c r="D437" s="179" t="str">
        <f aca="false">IF(TRIM(Tracker!J417)="",Tracker!I417,Tracker!J417)</f>
        <v>David/Andrew</v>
      </c>
      <c r="E437" s="180" t="n">
        <f aca="false">IF(ISNUMBER(Tracker!K417),Tracker!K417,IF(ISNUMBER(Tracker!L417),Tracker!L417,0))</f>
        <v>0</v>
      </c>
      <c r="F437" s="180" t="n">
        <f aca="false">IF(ISNUMBER(Tracker!L417),Tracker!L417,IF(ISNUMBER(Tracker!K417),Tracker!K417,0))</f>
        <v>0</v>
      </c>
      <c r="DU437" s="0" t="str">
        <f aca="false">Tracker!M417</f>
        <v>Not Started</v>
      </c>
    </row>
    <row r="438" customFormat="false" ht="15" hidden="false" customHeight="false" outlineLevel="1" collapsed="false">
      <c r="A438" s="179" t="str">
        <f aca="false">Tracker!F418</f>
        <v>NEW</v>
      </c>
      <c r="B438" s="179" t="str">
        <f aca="false">Tracker!G418</f>
        <v>Catering operator(s) procured and contracted</v>
      </c>
      <c r="C438" s="179" t="str">
        <f aca="false">TRIM(Tracker!D418)</f>
        <v>Catering (CAT)</v>
      </c>
      <c r="D438" s="179" t="str">
        <f aca="false">IF(TRIM(Tracker!J418)="",Tracker!I418,Tracker!J418)</f>
        <v>David/Andrew</v>
      </c>
      <c r="E438" s="180" t="n">
        <f aca="false">IF(ISNUMBER(Tracker!K418),Tracker!K418,IF(ISNUMBER(Tracker!L418),Tracker!L418,0))</f>
        <v>0</v>
      </c>
      <c r="F438" s="180" t="n">
        <f aca="false">IF(ISNUMBER(Tracker!L418),Tracker!L418,IF(ISNUMBER(Tracker!K418),Tracker!K418,0))</f>
        <v>0</v>
      </c>
      <c r="DU438" s="0" t="str">
        <f aca="false">Tracker!M418</f>
        <v>Not Started</v>
      </c>
    </row>
    <row r="439" customFormat="false" ht="15" hidden="false" customHeight="false" outlineLevel="1" collapsed="false">
      <c r="A439" s="179" t="str">
        <f aca="false">Tracker!F419</f>
        <v>NEW</v>
      </c>
      <c r="B439" s="179" t="str">
        <f aca="false">Tracker!G419</f>
        <v>Staff &amp; volunteer catering model finalised</v>
      </c>
      <c r="C439" s="179" t="str">
        <f aca="false">TRIM(Tracker!D419)</f>
        <v>Catering (CAT)</v>
      </c>
      <c r="D439" s="179" t="str">
        <f aca="false">IF(TRIM(Tracker!J419)="",Tracker!I419,Tracker!J419)</f>
        <v>David/Andrew</v>
      </c>
      <c r="E439" s="180" t="n">
        <f aca="false">IF(ISNUMBER(Tracker!K419),Tracker!K419,IF(ISNUMBER(Tracker!L419),Tracker!L419,0))</f>
        <v>0</v>
      </c>
      <c r="F439" s="180" t="n">
        <f aca="false">IF(ISNUMBER(Tracker!L419),Tracker!L419,IF(ISNUMBER(Tracker!K419),Tracker!K419,0))</f>
        <v>0</v>
      </c>
      <c r="DU439" s="0" t="str">
        <f aca="false">Tracker!M419</f>
        <v>Not Started</v>
      </c>
    </row>
    <row r="440" customFormat="false" ht="15" hidden="false" customHeight="false" outlineLevel="1" collapsed="false">
      <c r="A440" s="179" t="str">
        <f aca="false">Tracker!F420</f>
        <v>NEW</v>
      </c>
      <c r="B440" s="179" t="str">
        <f aca="false">Tracker!G420</f>
        <v>Volunteers, Workforce and Event Catering  plans approved</v>
      </c>
      <c r="C440" s="179" t="str">
        <f aca="false">TRIM(Tracker!D420)</f>
        <v>Catering (CAT)</v>
      </c>
      <c r="D440" s="179" t="str">
        <f aca="false">IF(TRIM(Tracker!J420)="",Tracker!I420,Tracker!J420)</f>
        <v>David/Andrew</v>
      </c>
      <c r="E440" s="180" t="n">
        <f aca="false">IF(ISNUMBER(Tracker!K420),Tracker!K420,IF(ISNUMBER(Tracker!L420),Tracker!L420,0))</f>
        <v>0</v>
      </c>
      <c r="F440" s="180" t="n">
        <f aca="false">IF(ISNUMBER(Tracker!L420),Tracker!L420,IF(ISNUMBER(Tracker!K420),Tracker!K420,0))</f>
        <v>0</v>
      </c>
      <c r="DU440" s="0" t="str">
        <f aca="false">Tracker!M420</f>
        <v>Not Started</v>
      </c>
    </row>
    <row r="441" customFormat="false" ht="15" hidden="false" customHeight="false" outlineLevel="1" collapsed="false">
      <c r="A441" s="179" t="str">
        <f aca="false">Tracker!F421</f>
        <v>NEW</v>
      </c>
      <c r="B441" s="179" t="str">
        <f aca="false">Tracker!G421</f>
        <v>Food safety, hygiene &amp; licensing compliance secured</v>
      </c>
      <c r="C441" s="179" t="str">
        <f aca="false">TRIM(Tracker!D421)</f>
        <v>Catering (CAT)</v>
      </c>
      <c r="D441" s="179" t="str">
        <f aca="false">IF(TRIM(Tracker!J421)="",Tracker!I421,Tracker!J421)</f>
        <v>David/Andrew</v>
      </c>
      <c r="E441" s="180" t="n">
        <f aca="false">IF(ISNUMBER(Tracker!K421),Tracker!K421,IF(ISNUMBER(Tracker!L421),Tracker!L421,0))</f>
        <v>0</v>
      </c>
      <c r="F441" s="180" t="n">
        <f aca="false">IF(ISNUMBER(Tracker!L421),Tracker!L421,IF(ISNUMBER(Tracker!K421),Tracker!K421,0))</f>
        <v>0</v>
      </c>
      <c r="DU441" s="0" t="str">
        <f aca="false">Tracker!M421</f>
        <v>Not Started</v>
      </c>
    </row>
    <row r="442" customFormat="false" ht="15" hidden="false" customHeight="false" outlineLevel="1" collapsed="false">
      <c r="A442" s="179" t="str">
        <f aca="false">Tracker!F422</f>
        <v>NEW</v>
      </c>
      <c r="B442" s="179" t="str">
        <f aca="false">Tracker!G422</f>
        <v>Catering Spaces fit-out complete </v>
      </c>
      <c r="C442" s="179" t="str">
        <f aca="false">TRIM(Tracker!D422)</f>
        <v>Catering (CAT)</v>
      </c>
      <c r="D442" s="179" t="str">
        <f aca="false">IF(TRIM(Tracker!J422)="",Tracker!I422,Tracker!J422)</f>
        <v>David/Andrew</v>
      </c>
      <c r="E442" s="180" t="n">
        <f aca="false">IF(ISNUMBER(Tracker!K422),Tracker!K422,IF(ISNUMBER(Tracker!L422),Tracker!L422,0))</f>
        <v>0</v>
      </c>
      <c r="F442" s="180" t="n">
        <f aca="false">IF(ISNUMBER(Tracker!L422),Tracker!L422,IF(ISNUMBER(Tracker!K422),Tracker!K422,0))</f>
        <v>0</v>
      </c>
      <c r="DU442" s="0" t="str">
        <f aca="false">Tracker!M422</f>
        <v>Not Started</v>
      </c>
    </row>
    <row r="443" customFormat="false" ht="15" hidden="false" customHeight="false" outlineLevel="1" collapsed="false">
      <c r="A443" s="179" t="str">
        <f aca="false">Tracker!F423</f>
        <v>NEW</v>
      </c>
      <c r="B443" s="179" t="str">
        <f aca="false">Tracker!G423</f>
        <v>Sponsor / exclusivity agreements signed</v>
      </c>
      <c r="C443" s="179" t="str">
        <f aca="false">TRIM(Tracker!D423)</f>
        <v>Catering (CAT)</v>
      </c>
      <c r="D443" s="179" t="str">
        <f aca="false">IF(TRIM(Tracker!J423)="",Tracker!I423,Tracker!J423)</f>
        <v>David/Andrew</v>
      </c>
      <c r="E443" s="180" t="n">
        <f aca="false">IF(ISNUMBER(Tracker!K423),Tracker!K423,IF(ISNUMBER(Tracker!L423),Tracker!L423,0))</f>
        <v>0</v>
      </c>
      <c r="F443" s="180" t="n">
        <f aca="false">IF(ISNUMBER(Tracker!L423),Tracker!L423,IF(ISNUMBER(Tracker!K423),Tracker!K423,0))</f>
        <v>0</v>
      </c>
      <c r="DU443" s="0" t="str">
        <f aca="false">Tracker!M423</f>
        <v>Not Started</v>
      </c>
    </row>
    <row r="444" customFormat="false" ht="15" hidden="false" customHeight="false" outlineLevel="1" collapsed="false">
      <c r="A444" s="179" t="str">
        <f aca="false">Tracker!F424</f>
        <v>NEW</v>
      </c>
      <c r="B444" s="179" t="str">
        <f aca="false">Tracker!G424</f>
        <v>Catering logistics &amp; supply chain operational </v>
      </c>
      <c r="C444" s="179" t="str">
        <f aca="false">TRIM(Tracker!D424)</f>
        <v>Catering (CAT)</v>
      </c>
      <c r="D444" s="179" t="str">
        <f aca="false">IF(TRIM(Tracker!J424)="",Tracker!I424,Tracker!J424)</f>
        <v>David/Andrew</v>
      </c>
      <c r="E444" s="180" t="n">
        <f aca="false">IF(ISNUMBER(Tracker!K424),Tracker!K424,IF(ISNUMBER(Tracker!L424),Tracker!L424,0))</f>
        <v>0</v>
      </c>
      <c r="F444" s="180" t="n">
        <f aca="false">IF(ISNUMBER(Tracker!L424),Tracker!L424,IF(ISNUMBER(Tracker!K424),Tracker!K424,0))</f>
        <v>0</v>
      </c>
      <c r="DU444" s="0" t="str">
        <f aca="false">Tracker!M424</f>
        <v>Not Started</v>
      </c>
    </row>
    <row r="445" customFormat="false" ht="15" hidden="false" customHeight="false" outlineLevel="1" collapsed="false">
      <c r="A445" s="179" t="str">
        <f aca="false">Tracker!F425</f>
        <v>NEW</v>
      </c>
      <c r="B445" s="179" t="str">
        <f aca="false">Tracker!G425</f>
        <v>Catering Pre Event Operational</v>
      </c>
      <c r="C445" s="179" t="str">
        <f aca="false">TRIM(Tracker!D425)</f>
        <v>Catering (CAT)</v>
      </c>
      <c r="D445" s="179" t="str">
        <f aca="false">IF(TRIM(Tracker!J425)="",Tracker!I425,Tracker!J425)</f>
        <v>David/Andrew</v>
      </c>
      <c r="E445" s="180" t="n">
        <f aca="false">IF(ISNUMBER(Tracker!K425),Tracker!K425,IF(ISNUMBER(Tracker!L425),Tracker!L425,0))</f>
        <v>0</v>
      </c>
      <c r="F445" s="180" t="n">
        <f aca="false">IF(ISNUMBER(Tracker!L425),Tracker!L425,IF(ISNUMBER(Tracker!K425),Tracker!K425,0))</f>
        <v>0</v>
      </c>
      <c r="DU445" s="0" t="str">
        <f aca="false">Tracker!M425</f>
        <v>Not Started</v>
      </c>
    </row>
    <row r="446" customFormat="false" ht="15" hidden="false" customHeight="false" outlineLevel="1" collapsed="false">
      <c r="A446" s="179" t="str">
        <f aca="false">Tracker!F426</f>
        <v>NEW</v>
      </c>
      <c r="B446" s="179" t="str">
        <f aca="false">Tracker!G426</f>
        <v>Catering Event Time Operational</v>
      </c>
      <c r="C446" s="179" t="str">
        <f aca="false">TRIM(Tracker!D426)</f>
        <v>Catering (CAT)</v>
      </c>
      <c r="D446" s="179" t="str">
        <f aca="false">IF(TRIM(Tracker!J426)="",Tracker!I426,Tracker!J426)</f>
        <v>David/Andrew</v>
      </c>
      <c r="E446" s="180" t="n">
        <f aca="false">IF(ISNUMBER(Tracker!K426),Tracker!K426,IF(ISNUMBER(Tracker!L426),Tracker!L426,0))</f>
        <v>0</v>
      </c>
      <c r="F446" s="180" t="n">
        <f aca="false">IF(ISNUMBER(Tracker!L426),Tracker!L426,IF(ISNUMBER(Tracker!K426),Tracker!K426,0))</f>
        <v>0</v>
      </c>
      <c r="DU446" s="0" t="str">
        <f aca="false">Tracker!M426</f>
        <v>Not Started</v>
      </c>
    </row>
    <row r="447" customFormat="false" ht="15" hidden="false" customHeight="false" outlineLevel="1" collapsed="false">
      <c r="A447" s="179" t="str">
        <f aca="false">Tracker!F427</f>
        <v>CM.CAT.01</v>
      </c>
      <c r="B447" s="179" t="str">
        <f aca="false">Tracker!G427</f>
        <v>Catering Strategy &amp; Operational Plans</v>
      </c>
      <c r="C447" s="179" t="str">
        <f aca="false">TRIM(Tracker!D427)</f>
        <v>Catering (CAT)</v>
      </c>
      <c r="D447" s="179" t="str">
        <f aca="false">IF(TRIM(Tracker!J427)="",Tracker!I427,Tracker!J427)</f>
        <v>David/Andrew</v>
      </c>
      <c r="E447" s="180" t="n">
        <f aca="false">IF(ISNUMBER(Tracker!K427),Tracker!K427,IF(ISNUMBER(Tracker!L427),Tracker!L427,0))</f>
        <v>0</v>
      </c>
      <c r="F447" s="180" t="n">
        <f aca="false">IF(ISNUMBER(Tracker!L427),Tracker!L427,IF(ISNUMBER(Tracker!K427),Tracker!K427,0))</f>
        <v>0</v>
      </c>
      <c r="DU447" s="0" t="str">
        <f aca="false">Tracker!M427</f>
        <v>Not Started</v>
      </c>
    </row>
    <row r="448" customFormat="false" ht="15" hidden="false" customHeight="false" outlineLevel="1" collapsed="false">
      <c r="A448" s="179" t="str">
        <f aca="false">Tracker!F428</f>
        <v>CM.CAT.01.01</v>
      </c>
      <c r="B448" s="179" t="str">
        <f aca="false">Tracker!G428</f>
        <v>Ops F&amp;B Scope Defined</v>
      </c>
      <c r="C448" s="179" t="str">
        <f aca="false">TRIM(Tracker!D428)</f>
        <v>Catering (CAT)</v>
      </c>
      <c r="D448" s="179" t="str">
        <f aca="false">IF(TRIM(Tracker!J428)="",Tracker!I428,Tracker!J428)</f>
        <v>David /Andrew</v>
      </c>
      <c r="E448" s="180" t="n">
        <f aca="false">IF(ISNUMBER(Tracker!K428),Tracker!K428,IF(ISNUMBER(Tracker!L428),Tracker!L428,0))</f>
        <v>46227</v>
      </c>
      <c r="F448" s="180" t="n">
        <f aca="false">IF(ISNUMBER(Tracker!L428),Tracker!L428,IF(ISNUMBER(Tracker!K428),Tracker!K428,0))</f>
        <v>46227</v>
      </c>
      <c r="DU448" s="0" t="str">
        <f aca="false">Tracker!M428</f>
        <v>On Track</v>
      </c>
    </row>
    <row r="449" customFormat="false" ht="15" hidden="false" customHeight="false" outlineLevel="1" collapsed="false">
      <c r="A449" s="179" t="str">
        <f aca="false">Tracker!F429</f>
        <v>CM.CAT.02</v>
      </c>
      <c r="B449" s="179" t="str">
        <f aca="false">Tracker!G429</f>
        <v>Catering Management System Implementation</v>
      </c>
      <c r="C449" s="179" t="str">
        <f aca="false">TRIM(Tracker!D429)</f>
        <v>Catering (CAT)</v>
      </c>
      <c r="D449" s="179" t="str">
        <f aca="false">IF(TRIM(Tracker!J429)="",Tracker!I429,Tracker!J429)</f>
        <v>David/Andrew</v>
      </c>
      <c r="E449" s="180" t="n">
        <f aca="false">IF(ISNUMBER(Tracker!K429),Tracker!K429,IF(ISNUMBER(Tracker!L429),Tracker!L429,0))</f>
        <v>0</v>
      </c>
      <c r="F449" s="180" t="n">
        <f aca="false">IF(ISNUMBER(Tracker!L429),Tracker!L429,IF(ISNUMBER(Tracker!K429),Tracker!K429,0))</f>
        <v>0</v>
      </c>
      <c r="DU449" s="0" t="str">
        <f aca="false">Tracker!M429</f>
        <v>Not Started</v>
      </c>
    </row>
    <row r="450" customFormat="false" ht="15" hidden="false" customHeight="false" outlineLevel="1" collapsed="false">
      <c r="A450" s="179" t="str">
        <f aca="false">Tracker!F430</f>
        <v>CM.CAT.03</v>
      </c>
      <c r="B450" s="179" t="str">
        <f aca="false">Tracker!G430</f>
        <v>Menu Planning, Scheduling &amp; Service Frameworks</v>
      </c>
      <c r="C450" s="179" t="str">
        <f aca="false">TRIM(Tracker!D430)</f>
        <v>Catering (CAT)</v>
      </c>
      <c r="D450" s="179" t="str">
        <f aca="false">IF(TRIM(Tracker!J430)="",Tracker!I430,Tracker!J430)</f>
        <v>David/Andrew</v>
      </c>
      <c r="E450" s="180" t="n">
        <f aca="false">IF(ISNUMBER(Tracker!K430),Tracker!K430,IF(ISNUMBER(Tracker!L430),Tracker!L430,0))</f>
        <v>0</v>
      </c>
      <c r="F450" s="180" t="n">
        <f aca="false">IF(ISNUMBER(Tracker!L430),Tracker!L430,IF(ISNUMBER(Tracker!K430),Tracker!K430,0))</f>
        <v>0</v>
      </c>
      <c r="DU450" s="0" t="str">
        <f aca="false">Tracker!M430</f>
        <v>Not Started</v>
      </c>
    </row>
    <row r="451" customFormat="false" ht="15" hidden="false" customHeight="false" outlineLevel="1" collapsed="false">
      <c r="A451" s="179" t="str">
        <f aca="false">Tracker!F431</f>
        <v>CM.CAT.04</v>
      </c>
      <c r="B451" s="179" t="str">
        <f aca="false">Tracker!G431</f>
        <v>Food Safety &amp; Hygiene Readiness Assessment</v>
      </c>
      <c r="C451" s="179" t="str">
        <f aca="false">TRIM(Tracker!D431)</f>
        <v>Catering (CAT)</v>
      </c>
      <c r="D451" s="179" t="str">
        <f aca="false">IF(TRIM(Tracker!J431)="",Tracker!I431,Tracker!J431)</f>
        <v>David/Andrew</v>
      </c>
      <c r="E451" s="180" t="n">
        <f aca="false">IF(ISNUMBER(Tracker!K431),Tracker!K431,IF(ISNUMBER(Tracker!L431),Tracker!L431,0))</f>
        <v>0</v>
      </c>
      <c r="F451" s="180" t="n">
        <f aca="false">IF(ISNUMBER(Tracker!L431),Tracker!L431,IF(ISNUMBER(Tracker!K431),Tracker!K431,0))</f>
        <v>0</v>
      </c>
      <c r="DU451" s="0" t="str">
        <f aca="false">Tracker!M431</f>
        <v>Not Started</v>
      </c>
    </row>
    <row r="452" customFormat="false" ht="15" hidden="false" customHeight="false" outlineLevel="1" collapsed="false">
      <c r="A452" s="179" t="str">
        <f aca="false">Tracker!F432</f>
        <v>CM.CAT.05</v>
      </c>
      <c r="B452" s="179" t="str">
        <f aca="false">Tracker!G432</f>
        <v>Catering Staff Training &amp; Onboarding Frameworks</v>
      </c>
      <c r="C452" s="179" t="str">
        <f aca="false">TRIM(Tracker!D432)</f>
        <v>Catering (CAT)</v>
      </c>
      <c r="D452" s="179" t="str">
        <f aca="false">IF(TRIM(Tracker!J432)="",Tracker!I432,Tracker!J432)</f>
        <v>David/Andrew</v>
      </c>
      <c r="E452" s="180" t="n">
        <f aca="false">IF(ISNUMBER(Tracker!K432),Tracker!K432,IF(ISNUMBER(Tracker!L432),Tracker!L432,0))</f>
        <v>0</v>
      </c>
      <c r="F452" s="180" t="n">
        <f aca="false">IF(ISNUMBER(Tracker!L432),Tracker!L432,IF(ISNUMBER(Tracker!K432),Tracker!K432,0))</f>
        <v>0</v>
      </c>
      <c r="DU452" s="0" t="str">
        <f aca="false">Tracker!M432</f>
        <v>Not Started</v>
      </c>
    </row>
    <row r="453" customFormat="false" ht="15" hidden="false" customHeight="false" outlineLevel="1" collapsed="false">
      <c r="A453" s="179" t="str">
        <f aca="false">Tracker!F433</f>
        <v>CM.CAT.06</v>
      </c>
      <c r="B453" s="179" t="str">
        <f aca="false">Tracker!G433</f>
        <v>Catering Uniform &amp; Equipment Planning</v>
      </c>
      <c r="C453" s="179" t="str">
        <f aca="false">TRIM(Tracker!D433)</f>
        <v>Catering (CAT)</v>
      </c>
      <c r="D453" s="179" t="str">
        <f aca="false">IF(TRIM(Tracker!J433)="",Tracker!I433,Tracker!J433)</f>
        <v>David/Andrew</v>
      </c>
      <c r="E453" s="180" t="n">
        <f aca="false">IF(ISNUMBER(Tracker!K433),Tracker!K433,IF(ISNUMBER(Tracker!L433),Tracker!L433,0))</f>
        <v>0</v>
      </c>
      <c r="F453" s="180" t="n">
        <f aca="false">IF(ISNUMBER(Tracker!L433),Tracker!L433,IF(ISNUMBER(Tracker!K433),Tracker!K433,0))</f>
        <v>0</v>
      </c>
      <c r="DU453" s="0" t="str">
        <f aca="false">Tracker!M433</f>
        <v>Not Started</v>
      </c>
    </row>
    <row r="454" customFormat="false" ht="15" hidden="false" customHeight="false" outlineLevel="1" collapsed="false">
      <c r="A454" s="179" t="str">
        <f aca="false">Tracker!F434</f>
        <v>CM.CAT.07</v>
      </c>
      <c r="B454" s="179" t="str">
        <f aca="false">Tracker!G434</f>
        <v>Staff &amp; Volunteer Catering Welfare Planning</v>
      </c>
      <c r="C454" s="179" t="str">
        <f aca="false">TRIM(Tracker!D434)</f>
        <v>Catering (CAT)</v>
      </c>
      <c r="D454" s="179" t="str">
        <f aca="false">IF(TRIM(Tracker!J434)="",Tracker!I434,Tracker!J434)</f>
        <v>David/Andrew</v>
      </c>
      <c r="E454" s="180" t="n">
        <f aca="false">IF(ISNUMBER(Tracker!K434),Tracker!K434,IF(ISNUMBER(Tracker!L434),Tracker!L434,0))</f>
        <v>0</v>
      </c>
      <c r="F454" s="180" t="n">
        <f aca="false">IF(ISNUMBER(Tracker!L434),Tracker!L434,IF(ISNUMBER(Tracker!K434),Tracker!K434,0))</f>
        <v>0</v>
      </c>
      <c r="DU454" s="0" t="str">
        <f aca="false">Tracker!M434</f>
        <v>Not Started</v>
      </c>
    </row>
    <row r="455" customFormat="false" ht="15" hidden="false" customHeight="false" outlineLevel="1" collapsed="false">
      <c r="A455" s="179" t="str">
        <f aca="false">Tracker!F435</f>
        <v>CM.CAT.08</v>
      </c>
      <c r="B455" s="179" t="str">
        <f aca="false">Tracker!G435</f>
        <v>Catering Readiness Reviews</v>
      </c>
      <c r="C455" s="179" t="str">
        <f aca="false">TRIM(Tracker!D435)</f>
        <v>Catering (CAT)</v>
      </c>
      <c r="D455" s="179" t="str">
        <f aca="false">IF(TRIM(Tracker!J435)="",Tracker!I435,Tracker!J435)</f>
        <v>David/Andrew</v>
      </c>
      <c r="E455" s="180" t="n">
        <f aca="false">IF(ISNUMBER(Tracker!K435),Tracker!K435,IF(ISNUMBER(Tracker!L435),Tracker!L435,0))</f>
        <v>0</v>
      </c>
      <c r="F455" s="180" t="n">
        <f aca="false">IF(ISNUMBER(Tracker!L435),Tracker!L435,IF(ISNUMBER(Tracker!K435),Tracker!K435,0))</f>
        <v>0</v>
      </c>
      <c r="DU455" s="0" t="str">
        <f aca="false">Tracker!M435</f>
        <v>Not Started</v>
      </c>
    </row>
  </sheetData>
  <mergeCells count="34">
    <mergeCell ref="A1:DT1"/>
    <mergeCell ref="A2:F2"/>
    <mergeCell ref="H2:J2"/>
    <mergeCell ref="M2:O2"/>
    <mergeCell ref="R2:T2"/>
    <mergeCell ref="W2:Y2"/>
    <mergeCell ref="AB2:AD2"/>
    <mergeCell ref="H4:K4"/>
    <mergeCell ref="L4:O4"/>
    <mergeCell ref="P4:T4"/>
    <mergeCell ref="U4:X4"/>
    <mergeCell ref="Y4:AB4"/>
    <mergeCell ref="AC4:AG4"/>
    <mergeCell ref="AH4:AK4"/>
    <mergeCell ref="AL4:AO4"/>
    <mergeCell ref="AP4:AT4"/>
    <mergeCell ref="AU4:AX4"/>
    <mergeCell ref="AY4:BC4"/>
    <mergeCell ref="BD4:BG4"/>
    <mergeCell ref="BH4:BK4"/>
    <mergeCell ref="BL4:BP4"/>
    <mergeCell ref="BQ4:BT4"/>
    <mergeCell ref="BU4:BX4"/>
    <mergeCell ref="BY4:CB4"/>
    <mergeCell ref="CC4:CG4"/>
    <mergeCell ref="CH4:CK4"/>
    <mergeCell ref="CL4:CP4"/>
    <mergeCell ref="CQ4:CT4"/>
    <mergeCell ref="CU4:CX4"/>
    <mergeCell ref="CY4:DC4"/>
    <mergeCell ref="DD4:DG4"/>
    <mergeCell ref="DH4:DK4"/>
    <mergeCell ref="DL4:DP4"/>
    <mergeCell ref="DQ4:DT4"/>
  </mergeCells>
  <conditionalFormatting sqref="G6:DT455">
    <cfRule type="expression" priority="2" aboveAverage="0" equalAverage="0" bottom="0" percent="0" rank="0" text="" dxfId="44">
      <formula>AND(AND(G$5&lt;=$F6,G$5+6&gt;=$E6),OR(ISNUMBER(SEARCH("At Risk",$DU6)),ISNUMBER(SEARCH("Blocked",$DU6))))</formula>
    </cfRule>
    <cfRule type="expression" priority="3" aboveAverage="0" equalAverage="0" bottom="0" percent="0" rank="0" text="" dxfId="45">
      <formula>AND(AND(G$5&lt;=$F6,G$5+6&gt;=$E6),ISNUMBER(SEARCH("Complete",$DU6)))</formula>
    </cfRule>
    <cfRule type="expression" priority="4" aboveAverage="0" equalAverage="0" bottom="0" percent="0" rank="0" text="" dxfId="46">
      <formula>AND(AND(G$5&lt;=$F6,G$5+6&gt;=$E6),EXACT($DU6,"WORKSTREAM_SUMMARY"))</formula>
    </cfRule>
    <cfRule type="expression" priority="5" aboveAverage="0" equalAverage="0" bottom="0" percent="0" rank="0" text="" dxfId="47">
      <formula>AND(AND(G$5&lt;=$F6,G$5+6&gt;=$E6),NOT(EXACT($DU6,"WORKSTREAM_SUMMARY")))</formula>
    </cfRule>
    <cfRule type="expression" priority="6" aboveAverage="0" equalAverage="0" bottom="0" percent="0" rank="0" text="" dxfId="48">
      <formula>AND(G$5&lt;=TODAY(),(G$5+7)&gt;TODAY())</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2026-07-09T04:43:54Z</dcterms:created>
  <dc:creator>Daryl Greenfield</dc:creator>
  <dc:description/>
  <dc:language>en-US</dc:language>
  <cp:lastModifiedBy>Daryl Greenfield</cp:lastModifiedBy>
  <dcterms:modified xsi:type="dcterms:W3CDTF">2026-08-11T13:45:50Z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0x01010000E7ACCEC0201D4097C2021E46ECE60A</vt:lpwstr>
  </property>
  <property fmtid="{D5CDD505-2E9C-101B-9397-08002B2CF9AE}" pid="3" name="MediaServiceImageTags">
    <vt:lpwstr/>
  </property>
</Properties>
</file>